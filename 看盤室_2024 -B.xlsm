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28860" windowHeight="14055"/>
  </bookViews>
  <sheets>
    <sheet name="看盤" sheetId="4" r:id="rId1"/>
    <sheet name="記錄" sheetId="1" r:id="rId2"/>
    <sheet name="結算估價" sheetId="3" r:id="rId3"/>
    <sheet name="大昌DDE" sheetId="5" r:id="rId4"/>
    <sheet name="股期代碼" sheetId="6" r:id="rId5"/>
    <sheet name="Documentation" sheetId="2" r:id="rId6"/>
  </sheets>
  <functionGroups/>
  <externalReferences>
    <externalReference r:id="rId7"/>
    <externalReference r:id="rId8"/>
    <externalReference r:id="rId9"/>
    <externalReference r:id="rId10"/>
  </externalReferences>
  <definedNames>
    <definedName name="Rec_行號字母">記錄!$C$3:$C$100</definedName>
    <definedName name="Rec_行號數">記錄!$B$3:$B$100</definedName>
    <definedName name="Rec_商品名稱">記錄!$A$3:$A$100</definedName>
    <definedName name="月份">大昌DDE!$A$8:$A$24</definedName>
    <definedName name="月份代碼">大昌DDE!$B$8:$B$24</definedName>
    <definedName name="股票代碼">股期代碼!$C$3:$C$400</definedName>
    <definedName name="股票簡稱">股期代碼!$D$3:$D$400</definedName>
    <definedName name="股期DDE示範區">大昌DDE!$E$35:$T$54</definedName>
    <definedName name="股期代碼">股期代碼!$A$100:$A$400</definedName>
    <definedName name="指數期">股期代碼!$A$232:$D$246</definedName>
    <definedName name="查詢項目">大昌DDE!$C$8:$C$38</definedName>
    <definedName name="查詢項目代碼">大昌DDE!$D$8:$D$38</definedName>
    <definedName name="看盤名稱區">看盤!$B$3:$B$60</definedName>
    <definedName name="看盤區">看盤!$B$3:$P$60</definedName>
    <definedName name="展示項目">看盤!$B$2:$P$2</definedName>
    <definedName name="現股DDE示範區">大昌DDE!$E$12:$T$31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4"/>
  <c r="C6"/>
  <c r="C24"/>
  <c r="P21"/>
  <c r="O21"/>
  <c r="N21"/>
  <c r="M21"/>
  <c r="L21"/>
  <c r="K21"/>
  <c r="J21"/>
  <c r="I21"/>
  <c r="H21"/>
  <c r="G21"/>
  <c r="F21"/>
  <c r="C21"/>
  <c r="B21"/>
  <c r="P24"/>
  <c r="O24"/>
  <c r="N24"/>
  <c r="M24"/>
  <c r="L24"/>
  <c r="K24"/>
  <c r="J24"/>
  <c r="I24"/>
  <c r="H24"/>
  <c r="G24"/>
  <c r="F24"/>
  <c r="B24"/>
  <c r="P6"/>
  <c r="O6"/>
  <c r="N6"/>
  <c r="M6"/>
  <c r="L6"/>
  <c r="K6"/>
  <c r="J6"/>
  <c r="I6"/>
  <c r="H6"/>
  <c r="G6"/>
  <c r="F6"/>
  <c r="B6"/>
  <c r="P9"/>
  <c r="O9"/>
  <c r="N9"/>
  <c r="M9"/>
  <c r="L9"/>
  <c r="K9"/>
  <c r="J9"/>
  <c r="I9"/>
  <c r="H9"/>
  <c r="G9"/>
  <c r="F9"/>
  <c r="B9"/>
  <c r="P14"/>
  <c r="O14"/>
  <c r="N14"/>
  <c r="M14"/>
  <c r="L14"/>
  <c r="K14"/>
  <c r="J14"/>
  <c r="I14"/>
  <c r="H14"/>
  <c r="G14"/>
  <c r="F14"/>
  <c r="C14"/>
  <c r="B14"/>
  <c r="P17"/>
  <c r="O17"/>
  <c r="N17"/>
  <c r="M17"/>
  <c r="L17"/>
  <c r="K17"/>
  <c r="J17"/>
  <c r="I17"/>
  <c r="H17"/>
  <c r="G17"/>
  <c r="F17"/>
  <c r="C17"/>
  <c r="B17"/>
  <c r="C3" i="3"/>
  <c r="S3" i="4" s="1"/>
  <c r="N8" a="1"/>
  <c r="N8" s="1"/>
  <c r="H4" i="3"/>
  <c r="G4"/>
  <c r="F4"/>
  <c r="E4"/>
  <c r="C4"/>
  <c r="H3"/>
  <c r="G3"/>
  <c r="F3"/>
  <c r="E3"/>
  <c r="H2"/>
  <c r="G2"/>
  <c r="F2"/>
  <c r="E2"/>
  <c r="K127" i="4"/>
  <c r="K27" s="1"/>
  <c r="C127"/>
  <c r="C27" s="1"/>
  <c r="K126"/>
  <c r="K26" s="1"/>
  <c r="J126"/>
  <c r="J26" s="1"/>
  <c r="I126"/>
  <c r="I26" s="1"/>
  <c r="H126"/>
  <c r="H26" s="1"/>
  <c r="G126"/>
  <c r="G26" s="1"/>
  <c r="F126"/>
  <c r="F26" s="1"/>
  <c r="C126"/>
  <c r="C26" s="1"/>
  <c r="K125"/>
  <c r="K25" s="1"/>
  <c r="J125"/>
  <c r="J25" s="1"/>
  <c r="I125"/>
  <c r="I25" s="1"/>
  <c r="H125"/>
  <c r="H25" s="1"/>
  <c r="G125"/>
  <c r="G25" s="1"/>
  <c r="F125"/>
  <c r="F25" s="1"/>
  <c r="C125"/>
  <c r="C25" s="1"/>
  <c r="K124"/>
  <c r="J124"/>
  <c r="I124"/>
  <c r="H124"/>
  <c r="G124"/>
  <c r="F124"/>
  <c r="C124"/>
  <c r="K123"/>
  <c r="K23" s="1"/>
  <c r="J123"/>
  <c r="J23" s="1"/>
  <c r="I123"/>
  <c r="I23" s="1"/>
  <c r="H123"/>
  <c r="H23" s="1"/>
  <c r="G123"/>
  <c r="G23" s="1"/>
  <c r="F123"/>
  <c r="F23" s="1"/>
  <c r="C123"/>
  <c r="C23" s="1"/>
  <c r="K122"/>
  <c r="K22" s="1"/>
  <c r="J122"/>
  <c r="J22" s="1"/>
  <c r="I122"/>
  <c r="I22" s="1"/>
  <c r="H122"/>
  <c r="H22" s="1"/>
  <c r="G122"/>
  <c r="G22" s="1"/>
  <c r="F122"/>
  <c r="F22" s="1"/>
  <c r="C122"/>
  <c r="C22" s="1"/>
  <c r="K121"/>
  <c r="J121"/>
  <c r="I121"/>
  <c r="H121"/>
  <c r="G121"/>
  <c r="F121"/>
  <c r="C121"/>
  <c r="K120"/>
  <c r="K20" s="1"/>
  <c r="J120"/>
  <c r="J20" s="1"/>
  <c r="I120"/>
  <c r="I20" s="1"/>
  <c r="H120"/>
  <c r="H20" s="1"/>
  <c r="G120"/>
  <c r="G20" s="1"/>
  <c r="F120"/>
  <c r="F20" s="1"/>
  <c r="C120"/>
  <c r="C20" s="1"/>
  <c r="K119"/>
  <c r="K19" s="1"/>
  <c r="J119"/>
  <c r="J19" s="1"/>
  <c r="I119"/>
  <c r="I19" s="1"/>
  <c r="H119"/>
  <c r="H19" s="1"/>
  <c r="G119"/>
  <c r="G19" s="1"/>
  <c r="F119"/>
  <c r="F19" s="1"/>
  <c r="C119"/>
  <c r="C19" s="1"/>
  <c r="K118"/>
  <c r="K18" s="1"/>
  <c r="J118"/>
  <c r="J18" s="1"/>
  <c r="I118"/>
  <c r="I18" s="1"/>
  <c r="H118"/>
  <c r="H18" s="1"/>
  <c r="U10" s="1"/>
  <c r="G118"/>
  <c r="G18" s="1"/>
  <c r="F118"/>
  <c r="F18" s="1"/>
  <c r="C118"/>
  <c r="C18" s="1"/>
  <c r="K117"/>
  <c r="J117"/>
  <c r="I117"/>
  <c r="H117"/>
  <c r="G117"/>
  <c r="F117"/>
  <c r="C117"/>
  <c r="K116"/>
  <c r="K16" s="1"/>
  <c r="J116"/>
  <c r="J16" s="1"/>
  <c r="I116"/>
  <c r="I16" s="1"/>
  <c r="H116"/>
  <c r="H16" s="1"/>
  <c r="G116"/>
  <c r="G16" s="1"/>
  <c r="F116"/>
  <c r="F16" s="1"/>
  <c r="C116"/>
  <c r="C16" s="1"/>
  <c r="K115"/>
  <c r="K15" s="1"/>
  <c r="J115"/>
  <c r="J15" s="1"/>
  <c r="I115"/>
  <c r="I15" s="1"/>
  <c r="H115"/>
  <c r="H15" s="1"/>
  <c r="G115"/>
  <c r="G15" s="1"/>
  <c r="F115"/>
  <c r="F15" s="1"/>
  <c r="C115"/>
  <c r="C15" s="1"/>
  <c r="K114"/>
  <c r="J114"/>
  <c r="I114"/>
  <c r="H114"/>
  <c r="G114"/>
  <c r="F114"/>
  <c r="C114"/>
  <c r="K113"/>
  <c r="K13" s="1"/>
  <c r="J113"/>
  <c r="J13" s="1"/>
  <c r="I113"/>
  <c r="I13" s="1"/>
  <c r="H113"/>
  <c r="H13" s="1"/>
  <c r="G113"/>
  <c r="G13" s="1"/>
  <c r="F113"/>
  <c r="F13" s="1"/>
  <c r="C113"/>
  <c r="C13" s="1"/>
  <c r="K112"/>
  <c r="K12" s="1"/>
  <c r="J112"/>
  <c r="J12" s="1"/>
  <c r="I112"/>
  <c r="I12" s="1"/>
  <c r="H112"/>
  <c r="H12" s="1"/>
  <c r="G112"/>
  <c r="G12" s="1"/>
  <c r="F112"/>
  <c r="F12" s="1"/>
  <c r="C112"/>
  <c r="C12" s="1"/>
  <c r="K111"/>
  <c r="K11" s="1"/>
  <c r="J111"/>
  <c r="J11" s="1"/>
  <c r="I111"/>
  <c r="I11" s="1"/>
  <c r="H111"/>
  <c r="H11" s="1"/>
  <c r="S10" s="1"/>
  <c r="G111"/>
  <c r="G11" s="1"/>
  <c r="S11" s="1"/>
  <c r="F111"/>
  <c r="F11" s="1"/>
  <c r="C111"/>
  <c r="C11" s="1"/>
  <c r="K110"/>
  <c r="K10" s="1"/>
  <c r="J110"/>
  <c r="J10" s="1"/>
  <c r="I110"/>
  <c r="I10" s="1"/>
  <c r="H110"/>
  <c r="H10" s="1"/>
  <c r="G110"/>
  <c r="G10" s="1"/>
  <c r="F110"/>
  <c r="F10" s="1"/>
  <c r="C110"/>
  <c r="C10" s="1"/>
  <c r="K109"/>
  <c r="J109"/>
  <c r="I109"/>
  <c r="H109"/>
  <c r="G109"/>
  <c r="F109"/>
  <c r="C109"/>
  <c r="K108"/>
  <c r="K8" s="1"/>
  <c r="J108"/>
  <c r="J8" s="1"/>
  <c r="I108"/>
  <c r="I8" s="1"/>
  <c r="H108"/>
  <c r="H8" s="1"/>
  <c r="G108"/>
  <c r="G8" s="1"/>
  <c r="F108"/>
  <c r="F8" s="1"/>
  <c r="C108"/>
  <c r="C8" s="1"/>
  <c r="K107"/>
  <c r="K7" s="1"/>
  <c r="J107"/>
  <c r="J7" s="1"/>
  <c r="I107"/>
  <c r="I7" s="1"/>
  <c r="H107"/>
  <c r="H7" s="1"/>
  <c r="G107"/>
  <c r="G7" s="1"/>
  <c r="F107"/>
  <c r="F7" s="1"/>
  <c r="C107"/>
  <c r="C7" s="1"/>
  <c r="K106"/>
  <c r="J106"/>
  <c r="I106"/>
  <c r="H106"/>
  <c r="G106"/>
  <c r="F106"/>
  <c r="C106"/>
  <c r="K105"/>
  <c r="K5" s="1"/>
  <c r="J105"/>
  <c r="J5" s="1"/>
  <c r="I105"/>
  <c r="I5" s="1"/>
  <c r="H105"/>
  <c r="H5" s="1"/>
  <c r="G105"/>
  <c r="G5" s="1"/>
  <c r="F105"/>
  <c r="F5" s="1"/>
  <c r="C105"/>
  <c r="C5" s="1"/>
  <c r="K104"/>
  <c r="K4" s="1"/>
  <c r="J104"/>
  <c r="J4" s="1"/>
  <c r="I104"/>
  <c r="I4" s="1"/>
  <c r="H104"/>
  <c r="H4" s="1"/>
  <c r="G104"/>
  <c r="G4" s="1"/>
  <c r="F104"/>
  <c r="F4" s="1"/>
  <c r="C104"/>
  <c r="C4" s="1"/>
  <c r="K103"/>
  <c r="K3" s="1"/>
  <c r="J103"/>
  <c r="J3" s="1"/>
  <c r="I103"/>
  <c r="I3" s="1"/>
  <c r="H103"/>
  <c r="H3" s="1"/>
  <c r="R10" s="1"/>
  <c r="G103"/>
  <c r="G3" s="1"/>
  <c r="R11" s="1"/>
  <c r="F103"/>
  <c r="F3" s="1"/>
  <c r="C103"/>
  <c r="C3" s="1"/>
  <c r="M27" a="1"/>
  <c r="M27" s="1"/>
  <c r="L27" a="1"/>
  <c r="L27" s="1"/>
  <c r="E27" a="1"/>
  <c r="E27" s="1"/>
  <c r="D27" a="1"/>
  <c r="D27" s="1"/>
  <c r="B27" a="1"/>
  <c r="B27" s="1"/>
  <c r="P26" a="1"/>
  <c r="P26" s="1"/>
  <c r="O26" a="1"/>
  <c r="O26" s="1"/>
  <c r="N26" a="1"/>
  <c r="N26" s="1"/>
  <c r="M26" a="1"/>
  <c r="M26" s="1"/>
  <c r="L26" a="1"/>
  <c r="L26" s="1"/>
  <c r="E26" a="1"/>
  <c r="E26" s="1"/>
  <c r="D26" a="1"/>
  <c r="D26" s="1"/>
  <c r="B26" a="1"/>
  <c r="B26" s="1"/>
  <c r="P25" a="1"/>
  <c r="P25" s="1"/>
  <c r="O25" a="1"/>
  <c r="O25" s="1"/>
  <c r="N25" a="1"/>
  <c r="N25" s="1"/>
  <c r="M25" a="1"/>
  <c r="M25" s="1"/>
  <c r="L25" a="1"/>
  <c r="L25" s="1"/>
  <c r="E25" a="1"/>
  <c r="E25" s="1"/>
  <c r="D25" a="1"/>
  <c r="D25" s="1"/>
  <c r="B25" a="1"/>
  <c r="B25" s="1"/>
  <c r="P23" a="1"/>
  <c r="P23" s="1"/>
  <c r="O23" a="1"/>
  <c r="O23" s="1"/>
  <c r="N23" a="1"/>
  <c r="N23" s="1"/>
  <c r="M23" a="1"/>
  <c r="M23" s="1"/>
  <c r="L23" a="1"/>
  <c r="L23" s="1"/>
  <c r="E23" a="1"/>
  <c r="E23" s="1"/>
  <c r="D23" a="1"/>
  <c r="D23" s="1"/>
  <c r="B23" a="1"/>
  <c r="B23" s="1"/>
  <c r="P22"/>
  <c r="O22"/>
  <c r="N22"/>
  <c r="M22"/>
  <c r="L22"/>
  <c r="E22"/>
  <c r="D22"/>
  <c r="B22"/>
  <c r="P20" a="1"/>
  <c r="P20" s="1"/>
  <c r="O20" a="1"/>
  <c r="O20" s="1"/>
  <c r="N20" a="1"/>
  <c r="N20" s="1"/>
  <c r="M20" a="1"/>
  <c r="M20" s="1"/>
  <c r="L20" a="1"/>
  <c r="L20" s="1"/>
  <c r="E20" a="1"/>
  <c r="E20" s="1"/>
  <c r="D20" a="1"/>
  <c r="D20" s="1"/>
  <c r="B20" a="1"/>
  <c r="B20" s="1"/>
  <c r="P19" a="1"/>
  <c r="P19" s="1"/>
  <c r="O19" a="1"/>
  <c r="O19" s="1"/>
  <c r="N19" a="1"/>
  <c r="N19" s="1"/>
  <c r="M19" a="1"/>
  <c r="M19" s="1"/>
  <c r="L19" a="1"/>
  <c r="L19" s="1"/>
  <c r="E19" a="1"/>
  <c r="E19" s="1"/>
  <c r="D19" a="1"/>
  <c r="D19" s="1"/>
  <c r="B19" a="1"/>
  <c r="B19" s="1"/>
  <c r="P18" a="1"/>
  <c r="P18" s="1"/>
  <c r="O18" a="1"/>
  <c r="O18" s="1"/>
  <c r="N18" a="1"/>
  <c r="N18" s="1"/>
  <c r="M18" a="1"/>
  <c r="M18" s="1"/>
  <c r="R18" s="1"/>
  <c r="L18" a="1"/>
  <c r="L18" s="1"/>
  <c r="R16" s="1"/>
  <c r="E18" a="1"/>
  <c r="E18" s="1"/>
  <c r="D18" a="1"/>
  <c r="D18" s="1"/>
  <c r="R15" s="1"/>
  <c r="P16" a="1"/>
  <c r="P16" s="1"/>
  <c r="O16" a="1"/>
  <c r="O16" s="1"/>
  <c r="N16" a="1"/>
  <c r="N16" s="1"/>
  <c r="M16" a="1"/>
  <c r="M16" s="1"/>
  <c r="L16" a="1"/>
  <c r="L16" s="1"/>
  <c r="E16" a="1"/>
  <c r="E16" s="1"/>
  <c r="D16" a="1"/>
  <c r="D16" s="1"/>
  <c r="B16" a="1"/>
  <c r="B16" s="1"/>
  <c r="P15" a="1"/>
  <c r="P15" s="1"/>
  <c r="J1" s="1"/>
  <c r="O15" a="1"/>
  <c r="O15" s="1"/>
  <c r="N15" a="1"/>
  <c r="N15" s="1"/>
  <c r="M15" a="1"/>
  <c r="M15" s="1"/>
  <c r="L15" a="1"/>
  <c r="L15" s="1"/>
  <c r="E15" a="1"/>
  <c r="E15" s="1"/>
  <c r="D15" a="1"/>
  <c r="D15" s="1"/>
  <c r="B15" a="1"/>
  <c r="B15" s="1"/>
  <c r="P13" a="1"/>
  <c r="P13" s="1"/>
  <c r="O13" a="1"/>
  <c r="O13" s="1"/>
  <c r="N13" a="1"/>
  <c r="N13" s="1"/>
  <c r="M13" a="1"/>
  <c r="M13" s="1"/>
  <c r="L13" a="1"/>
  <c r="L13" s="1"/>
  <c r="E13" a="1"/>
  <c r="E13" s="1"/>
  <c r="D13" a="1"/>
  <c r="D13" s="1"/>
  <c r="B13" a="1"/>
  <c r="B13" s="1"/>
  <c r="P12" a="1"/>
  <c r="P12" s="1"/>
  <c r="K1" s="1"/>
  <c r="O12" a="1"/>
  <c r="O12" s="1"/>
  <c r="N12" a="1"/>
  <c r="N12" s="1"/>
  <c r="M12" a="1"/>
  <c r="M12" s="1"/>
  <c r="L12" a="1"/>
  <c r="L12" s="1"/>
  <c r="E12" a="1"/>
  <c r="E12" s="1"/>
  <c r="D12" a="1"/>
  <c r="D12" s="1"/>
  <c r="B12" a="1"/>
  <c r="B12" s="1"/>
  <c r="P11" a="1"/>
  <c r="P11" s="1"/>
  <c r="N11" a="1"/>
  <c r="N11" s="1"/>
  <c r="M11" a="1"/>
  <c r="M11" s="1"/>
  <c r="Q18" s="1"/>
  <c r="L11" a="1"/>
  <c r="L11" s="1"/>
  <c r="E11" a="1"/>
  <c r="E11" s="1"/>
  <c r="D11" a="1"/>
  <c r="D11" s="1"/>
  <c r="Q15" s="1"/>
  <c r="B11" a="1"/>
  <c r="B11" s="1"/>
  <c r="P10" a="1"/>
  <c r="P10" s="1"/>
  <c r="N10" a="1"/>
  <c r="N10" s="1"/>
  <c r="M10" a="1"/>
  <c r="M10" s="1"/>
  <c r="L10" a="1"/>
  <c r="L10" s="1"/>
  <c r="E10" a="1"/>
  <c r="E10" s="1"/>
  <c r="D10" a="1"/>
  <c r="D10" s="1"/>
  <c r="B10" a="1"/>
  <c r="B10" s="1"/>
  <c r="P8" a="1"/>
  <c r="P8" s="1"/>
  <c r="O8" a="1"/>
  <c r="O8" s="1"/>
  <c r="M8" a="1"/>
  <c r="M8" s="1"/>
  <c r="L8" a="1"/>
  <c r="L8" s="1"/>
  <c r="E8" a="1"/>
  <c r="E8" s="1"/>
  <c r="D8" a="1"/>
  <c r="D8" s="1"/>
  <c r="B8" a="1"/>
  <c r="B8" s="1"/>
  <c r="P7" a="1"/>
  <c r="P7" s="1"/>
  <c r="O7" a="1"/>
  <c r="O7" s="1"/>
  <c r="N7" a="1"/>
  <c r="N7" s="1"/>
  <c r="M7" a="1"/>
  <c r="M7" s="1"/>
  <c r="L7" a="1"/>
  <c r="L7" s="1"/>
  <c r="E7" a="1"/>
  <c r="E7" s="1"/>
  <c r="D7" a="1"/>
  <c r="D7" s="1"/>
  <c r="B7" a="1"/>
  <c r="B7" s="1"/>
  <c r="P5" a="1"/>
  <c r="P5" s="1"/>
  <c r="O5" a="1"/>
  <c r="O5" s="1"/>
  <c r="N5" a="1"/>
  <c r="N5" s="1"/>
  <c r="M5" a="1"/>
  <c r="M5" s="1"/>
  <c r="L5" a="1"/>
  <c r="L5" s="1"/>
  <c r="E5" a="1"/>
  <c r="E5" s="1"/>
  <c r="D5" a="1"/>
  <c r="D5" s="1"/>
  <c r="B5" a="1"/>
  <c r="B5" s="1"/>
  <c r="P4" a="1"/>
  <c r="P4" s="1"/>
  <c r="O4" a="1"/>
  <c r="O4" s="1"/>
  <c r="N4" a="1"/>
  <c r="N4" s="1"/>
  <c r="M4" a="1"/>
  <c r="M4" s="1"/>
  <c r="L4" a="1"/>
  <c r="L4" s="1"/>
  <c r="E4" a="1"/>
  <c r="E4" s="1"/>
  <c r="D4" a="1"/>
  <c r="D4" s="1"/>
  <c r="B4" a="1"/>
  <c r="B4" s="1"/>
  <c r="P3" a="1"/>
  <c r="P3" s="1"/>
  <c r="I1" s="1"/>
  <c r="N3" a="1"/>
  <c r="N3" s="1"/>
  <c r="M3" a="1"/>
  <c r="M3" s="1"/>
  <c r="L3" a="1"/>
  <c r="L3" s="1"/>
  <c r="E3" a="1"/>
  <c r="E3" s="1"/>
  <c r="D3" a="1"/>
  <c r="D3" s="1"/>
  <c r="B3" a="1"/>
  <c r="B3" s="1"/>
  <c r="A2"/>
  <c r="C13" i="1"/>
  <c r="C8"/>
  <c r="C6"/>
  <c r="C5"/>
  <c r="C10"/>
  <c r="C7"/>
  <c r="C15"/>
  <c r="C4"/>
  <c r="C11"/>
  <c r="C9"/>
  <c r="C3"/>
  <c r="C12"/>
  <c r="C14"/>
  <c r="G1" i="4" l="1"/>
  <c r="Q21"/>
  <c r="Q16"/>
  <c r="Q22"/>
  <c r="Q19"/>
  <c r="Q17"/>
  <c r="R19"/>
  <c r="R17"/>
  <c r="F127"/>
  <c r="G27"/>
  <c r="Q25"/>
  <c r="U11"/>
  <c r="R22"/>
  <c r="R2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<sst xmlns="http://schemas.openxmlformats.org/spreadsheetml/2006/main" count="4195" uniqueCount="2739">
  <si>
    <t>商品名稱</t>
    <phoneticPr fontId="3" type="noConversion"/>
  </si>
  <si>
    <t>成交價</t>
    <phoneticPr fontId="3" type="noConversion"/>
  </si>
  <si>
    <t>漲跌</t>
    <phoneticPr fontId="3" type="noConversion"/>
  </si>
  <si>
    <t>漲跌幅</t>
    <phoneticPr fontId="3" type="noConversion"/>
  </si>
  <si>
    <t>委買量</t>
    <phoneticPr fontId="3" type="noConversion"/>
  </si>
  <si>
    <t>買價</t>
    <phoneticPr fontId="3" type="noConversion"/>
  </si>
  <si>
    <t>賣價</t>
  </si>
  <si>
    <t>委賣量</t>
  </si>
  <si>
    <t>單量</t>
  </si>
  <si>
    <t>成交量</t>
  </si>
  <si>
    <t>最高價</t>
  </si>
  <si>
    <t>最低價</t>
  </si>
  <si>
    <t>昨收</t>
  </si>
  <si>
    <t>結算價</t>
  </si>
  <si>
    <t>成交時間</t>
    <phoneticPr fontId="3" type="noConversion"/>
  </si>
  <si>
    <t>DDE函數組成方式</t>
    <phoneticPr fontId="20" type="noConversion"/>
  </si>
  <si>
    <t>1)函數開頭</t>
    <phoneticPr fontId="20" type="noConversion"/>
  </si>
  <si>
    <t>2)商品代碼</t>
    <phoneticPr fontId="20" type="noConversion"/>
  </si>
  <si>
    <t>3)月份代碼</t>
    <phoneticPr fontId="20" type="noConversion"/>
  </si>
  <si>
    <t>4)年份尾數</t>
    <phoneticPr fontId="20" type="noConversion"/>
  </si>
  <si>
    <t>5)查詢項目代碼</t>
    <phoneticPr fontId="20" type="noConversion"/>
  </si>
  <si>
    <t>組合結果</t>
    <phoneticPr fontId="20" type="noConversion"/>
  </si>
  <si>
    <t>說明</t>
    <phoneticPr fontId="20" type="noConversion"/>
  </si>
  <si>
    <t>大台指期貨</t>
    <phoneticPr fontId="20" type="noConversion"/>
  </si>
  <si>
    <t>MMSDDE|</t>
    <phoneticPr fontId="20" type="noConversion"/>
  </si>
  <si>
    <t>FUSA!WTX</t>
    <phoneticPr fontId="20" type="noConversion"/>
  </si>
  <si>
    <t>N</t>
    <phoneticPr fontId="20" type="noConversion"/>
  </si>
  <si>
    <t>.125</t>
    <phoneticPr fontId="20" type="noConversion"/>
  </si>
  <si>
    <t>(=MMSDDE|FUSA!WTXN0.125)</t>
    <phoneticPr fontId="20" type="noConversion"/>
  </si>
  <si>
    <t>大台指期20年7月成交價</t>
    <phoneticPr fontId="20" type="noConversion"/>
  </si>
  <si>
    <t>股票期貨</t>
    <phoneticPr fontId="20" type="noConversion"/>
  </si>
  <si>
    <t>MMSDDE|</t>
  </si>
  <si>
    <t>FUSA!WCDF</t>
    <phoneticPr fontId="20" type="noConversion"/>
  </si>
  <si>
    <t>(=MMSDDE|FUSA!WCDFN0.125)</t>
    <phoneticPr fontId="20" type="noConversion"/>
  </si>
  <si>
    <t>台積電股期20年7月成交價</t>
    <phoneticPr fontId="20" type="noConversion"/>
  </si>
  <si>
    <t>股票現貨</t>
    <phoneticPr fontId="20" type="noConversion"/>
  </si>
  <si>
    <t>TWSE!'2330</t>
    <phoneticPr fontId="20" type="noConversion"/>
  </si>
  <si>
    <t>.125'</t>
    <phoneticPr fontId="20" type="noConversion"/>
  </si>
  <si>
    <t>(=MMSDDE|TWSE!'2330.125')</t>
    <phoneticPr fontId="20" type="noConversion"/>
  </si>
  <si>
    <t>台積電現股成交價</t>
    <phoneticPr fontId="20" type="noConversion"/>
  </si>
  <si>
    <t>市加權</t>
    <phoneticPr fontId="20" type="noConversion"/>
  </si>
  <si>
    <t>TWSE!'#001</t>
  </si>
  <si>
    <t>.184'</t>
    <phoneticPr fontId="20" type="noConversion"/>
  </si>
  <si>
    <t>(=MMSDDE|TWSE!'#001.184')</t>
    <phoneticPr fontId="20" type="noConversion"/>
  </si>
  <si>
    <t>市加權漲跌</t>
    <phoneticPr fontId="20" type="noConversion"/>
  </si>
  <si>
    <t>月份</t>
    <phoneticPr fontId="20" type="noConversion"/>
  </si>
  <si>
    <t>代碼</t>
    <phoneticPr fontId="20" type="noConversion"/>
  </si>
  <si>
    <t>查詢項目</t>
    <phoneticPr fontId="20" type="noConversion"/>
  </si>
  <si>
    <t>F</t>
    <phoneticPr fontId="20" type="noConversion"/>
  </si>
  <si>
    <t>商品名稱</t>
  </si>
  <si>
    <t>.2020'</t>
    <phoneticPr fontId="20" type="noConversion"/>
  </si>
  <si>
    <t>說明: 鍵入股票代碼 &gt;格內雙擊</t>
    <phoneticPr fontId="20" type="noConversion"/>
  </si>
  <si>
    <t>G</t>
    <phoneticPr fontId="20" type="noConversion"/>
  </si>
  <si>
    <t>成交價</t>
    <phoneticPr fontId="20" type="noConversion"/>
  </si>
  <si>
    <t>現股_產出查詢函數</t>
    <phoneticPr fontId="20" type="noConversion"/>
  </si>
  <si>
    <t>H</t>
    <phoneticPr fontId="20" type="noConversion"/>
  </si>
  <si>
    <t>漲跌</t>
    <phoneticPr fontId="20" type="noConversion"/>
  </si>
  <si>
    <t>範例</t>
    <phoneticPr fontId="20" type="noConversion"/>
  </si>
  <si>
    <t>.2020'</t>
  </si>
  <si>
    <t>.184'</t>
  </si>
  <si>
    <t>.185'</t>
  </si>
  <si>
    <t>.113'</t>
  </si>
  <si>
    <t>.101'</t>
  </si>
  <si>
    <t>.102'</t>
  </si>
  <si>
    <t>.114'</t>
  </si>
  <si>
    <t>.413'</t>
  </si>
  <si>
    <t>.404'</t>
  </si>
  <si>
    <t>.130'</t>
  </si>
  <si>
    <t>.131'</t>
  </si>
  <si>
    <t>.129'</t>
  </si>
  <si>
    <t>.205'</t>
  </si>
  <si>
    <t>.143'</t>
    <phoneticPr fontId="20" type="noConversion"/>
  </si>
  <si>
    <t>J</t>
    <phoneticPr fontId="20" type="noConversion"/>
  </si>
  <si>
    <t>漲跌幅</t>
  </si>
  <si>
    <t>.185'</t>
    <phoneticPr fontId="20" type="noConversion"/>
  </si>
  <si>
    <t>輸入商品碼</t>
    <phoneticPr fontId="20" type="noConversion"/>
  </si>
  <si>
    <t>成交價</t>
  </si>
  <si>
    <t>漲跌</t>
  </si>
  <si>
    <t>漲跌幅</t>
    <phoneticPr fontId="20" type="noConversion"/>
  </si>
  <si>
    <t>委買量</t>
  </si>
  <si>
    <t>買價</t>
  </si>
  <si>
    <t>昨收</t>
    <phoneticPr fontId="20" type="noConversion"/>
  </si>
  <si>
    <t>K</t>
    <phoneticPr fontId="20" type="noConversion"/>
  </si>
  <si>
    <t>.113'</t>
    <phoneticPr fontId="20" type="noConversion"/>
  </si>
  <si>
    <t>M</t>
    <phoneticPr fontId="20" type="noConversion"/>
  </si>
  <si>
    <t>.101'</t>
    <phoneticPr fontId="20" type="noConversion"/>
  </si>
  <si>
    <t>.102'</t>
    <phoneticPr fontId="20" type="noConversion"/>
  </si>
  <si>
    <t>Q</t>
    <phoneticPr fontId="20" type="noConversion"/>
  </si>
  <si>
    <t>.114'</t>
    <phoneticPr fontId="20" type="noConversion"/>
  </si>
  <si>
    <t>U</t>
    <phoneticPr fontId="20" type="noConversion"/>
  </si>
  <si>
    <t>單量</t>
    <phoneticPr fontId="20" type="noConversion"/>
  </si>
  <si>
    <t>.413'</t>
    <phoneticPr fontId="20" type="noConversion"/>
  </si>
  <si>
    <t>V</t>
    <phoneticPr fontId="20" type="noConversion"/>
  </si>
  <si>
    <t>.404'</t>
    <phoneticPr fontId="20" type="noConversion"/>
  </si>
  <si>
    <t>X</t>
    <phoneticPr fontId="20" type="noConversion"/>
  </si>
  <si>
    <t>.130'</t>
    <phoneticPr fontId="20" type="noConversion"/>
  </si>
  <si>
    <t>Z</t>
    <phoneticPr fontId="20" type="noConversion"/>
  </si>
  <si>
    <t>.131'</t>
    <phoneticPr fontId="20" type="noConversion"/>
  </si>
  <si>
    <t>當月</t>
  </si>
  <si>
    <t>&amp;</t>
  </si>
  <si>
    <t>.129'</t>
    <phoneticPr fontId="20" type="noConversion"/>
  </si>
  <si>
    <t>次月</t>
  </si>
  <si>
    <t>@</t>
  </si>
  <si>
    <t>.205'</t>
    <phoneticPr fontId="20" type="noConversion"/>
  </si>
  <si>
    <t>近月</t>
  </si>
  <si>
    <t>未平倉</t>
    <phoneticPr fontId="20" type="noConversion"/>
  </si>
  <si>
    <t>.206'</t>
    <phoneticPr fontId="20" type="noConversion"/>
  </si>
  <si>
    <t>近一</t>
  </si>
  <si>
    <t>時間</t>
    <phoneticPr fontId="20" type="noConversion"/>
  </si>
  <si>
    <t>近二</t>
  </si>
  <si>
    <t>成交時間</t>
    <phoneticPr fontId="20" type="noConversion"/>
  </si>
  <si>
    <t>日期</t>
  </si>
  <si>
    <t>.144'</t>
    <phoneticPr fontId="20" type="noConversion"/>
  </si>
  <si>
    <t>開盤</t>
  </si>
  <si>
    <t>.126'</t>
    <phoneticPr fontId="20" type="noConversion"/>
  </si>
  <si>
    <t>成交值百萬</t>
    <phoneticPr fontId="20" type="noConversion"/>
  </si>
  <si>
    <t>.215'</t>
    <phoneticPr fontId="20" type="noConversion"/>
  </si>
  <si>
    <t>平均每筆張數</t>
    <phoneticPr fontId="20" type="noConversion"/>
  </si>
  <si>
    <t>.472'</t>
    <phoneticPr fontId="20" type="noConversion"/>
  </si>
  <si>
    <t>總買筆數</t>
  </si>
  <si>
    <t>.506'</t>
    <phoneticPr fontId="20" type="noConversion"/>
  </si>
  <si>
    <t>總賣筆數</t>
    <phoneticPr fontId="20" type="noConversion"/>
  </si>
  <si>
    <t>.507'</t>
    <phoneticPr fontId="20" type="noConversion"/>
  </si>
  <si>
    <t>每筆買單均張</t>
  </si>
  <si>
    <t>.542'</t>
    <phoneticPr fontId="20" type="noConversion"/>
  </si>
  <si>
    <t>每筆賣單均張</t>
  </si>
  <si>
    <t>.543'</t>
    <phoneticPr fontId="20" type="noConversion"/>
  </si>
  <si>
    <t>股票期貨_產出查詢函數</t>
    <phoneticPr fontId="20" type="noConversion"/>
  </si>
  <si>
    <t>Delta</t>
  </si>
  <si>
    <t>.323'</t>
    <phoneticPr fontId="20" type="noConversion"/>
  </si>
  <si>
    <t>Theta</t>
  </si>
  <si>
    <t>.326'</t>
    <phoneticPr fontId="20" type="noConversion"/>
  </si>
  <si>
    <t>Vega</t>
    <phoneticPr fontId="20" type="noConversion"/>
  </si>
  <si>
    <t>.325'</t>
    <phoneticPr fontId="20" type="noConversion"/>
  </si>
  <si>
    <t>Gamma</t>
  </si>
  <si>
    <t>.324'</t>
    <phoneticPr fontId="20" type="noConversion"/>
  </si>
  <si>
    <t>DV</t>
  </si>
  <si>
    <t>Rho</t>
    <phoneticPr fontId="20" type="noConversion"/>
  </si>
  <si>
    <t>.327'</t>
    <phoneticPr fontId="20" type="noConversion"/>
  </si>
  <si>
    <t>隱波動漲跌</t>
    <phoneticPr fontId="20" type="noConversion"/>
  </si>
  <si>
    <t>.344'</t>
    <phoneticPr fontId="20" type="noConversion"/>
  </si>
  <si>
    <t xml:space="preserve">股票期貨、
選擇權
商品代碼 </t>
    <phoneticPr fontId="3" type="noConversion"/>
  </si>
  <si>
    <t xml:space="preserve">標的證券 </t>
  </si>
  <si>
    <t xml:space="preserve">證券
代號 </t>
    <phoneticPr fontId="20" type="noConversion"/>
  </si>
  <si>
    <t>股票簡稱</t>
    <phoneticPr fontId="3" type="noConversion"/>
  </si>
  <si>
    <t>是否為標的</t>
  </si>
  <si>
    <t>標的證券</t>
  </si>
  <si>
    <t>標準型
證券
股數</t>
  </si>
  <si>
    <t>股票
期貨</t>
  </si>
  <si>
    <t>股票
選擇權</t>
  </si>
  <si>
    <t>上市
普通股</t>
  </si>
  <si>
    <t>上櫃
普通股</t>
  </si>
  <si>
    <t>上市
ETF</t>
  </si>
  <si>
    <t>#</t>
  </si>
  <si>
    <t>英文代碼</t>
  </si>
  <si>
    <t>中文簡稱</t>
  </si>
  <si>
    <t>CA</t>
  </si>
  <si>
    <t>南亞塑膠工業股份有限公司</t>
  </si>
  <si>
    <t>南亞</t>
  </si>
  <si>
    <t>●</t>
  </si>
  <si>
    <t>◎</t>
  </si>
  <si>
    <t>AAA</t>
  </si>
  <si>
    <t>南亞1000股選擇權</t>
  </si>
  <si>
    <t>CB</t>
  </si>
  <si>
    <t>中國鋼鐵股份有限公司</t>
  </si>
  <si>
    <t>中鋼</t>
  </si>
  <si>
    <t>AAO</t>
  </si>
  <si>
    <t>南亞選擇權</t>
  </si>
  <si>
    <t>CC</t>
  </si>
  <si>
    <t>聯華電子股份有限公司</t>
  </si>
  <si>
    <t>聯電</t>
  </si>
  <si>
    <t>ABA</t>
  </si>
  <si>
    <t>中鋼1000股選擇權</t>
  </si>
  <si>
    <t>CD</t>
  </si>
  <si>
    <t>台灣積體電路製造股份有限公司</t>
  </si>
  <si>
    <t>台積電</t>
    <phoneticPr fontId="20" type="noConversion"/>
  </si>
  <si>
    <t>ABO</t>
  </si>
  <si>
    <t>中鋼選擇權</t>
  </si>
  <si>
    <t>CE</t>
  </si>
  <si>
    <t>富邦金融控股股份有限公司</t>
  </si>
  <si>
    <t>富邦金</t>
  </si>
  <si>
    <t>ACA</t>
  </si>
  <si>
    <t>聯電選擇權</t>
  </si>
  <si>
    <t>CF</t>
  </si>
  <si>
    <t>台灣塑膠工業股份有限公司</t>
  </si>
  <si>
    <t>台塑</t>
  </si>
  <si>
    <t>ACO</t>
  </si>
  <si>
    <t>CG</t>
  </si>
  <si>
    <t>仁寶電腦工業股份有限公司</t>
  </si>
  <si>
    <t>仁寶</t>
  </si>
  <si>
    <t>ADA</t>
  </si>
  <si>
    <t>台積電1000股選擇權</t>
  </si>
  <si>
    <t>CH</t>
  </si>
  <si>
    <t>友達光電股份有限公司</t>
  </si>
  <si>
    <t>友達</t>
  </si>
  <si>
    <t>ADO</t>
  </si>
  <si>
    <t>台積電選擇權</t>
  </si>
  <si>
    <t>CJ</t>
  </si>
  <si>
    <t>華南金融控股股份有限公司</t>
  </si>
  <si>
    <t>華南金</t>
  </si>
  <si>
    <t>AEA</t>
  </si>
  <si>
    <t>富邦金1000股選擇權</t>
  </si>
  <si>
    <t>CK</t>
  </si>
  <si>
    <t>國泰金融控股股份有限公司</t>
  </si>
  <si>
    <t>國泰金</t>
  </si>
  <si>
    <t>AEO</t>
  </si>
  <si>
    <t>富邦金選擇權</t>
  </si>
  <si>
    <t>CL</t>
  </si>
  <si>
    <t>兆豐金融控股股份有限公司</t>
  </si>
  <si>
    <t>兆豐金</t>
  </si>
  <si>
    <t>AFA</t>
  </si>
  <si>
    <t>CM</t>
  </si>
  <si>
    <t>台新金融控股股份有限公司</t>
  </si>
  <si>
    <t>台新金</t>
  </si>
  <si>
    <t>AFO</t>
  </si>
  <si>
    <t>CN</t>
  </si>
  <si>
    <t>中國信託金融控股股份有限公司</t>
  </si>
  <si>
    <t>中信金</t>
  </si>
  <si>
    <t>AGA</t>
  </si>
  <si>
    <t>CQ</t>
  </si>
  <si>
    <t>統一企業股份有限公司</t>
  </si>
  <si>
    <t>統一</t>
  </si>
  <si>
    <t>AGO</t>
  </si>
  <si>
    <t>CR</t>
  </si>
  <si>
    <t>遠東新世紀股份有限公司</t>
  </si>
  <si>
    <t>遠東新</t>
  </si>
  <si>
    <t>AHA</t>
  </si>
  <si>
    <t>CS</t>
  </si>
  <si>
    <t>華新麗華股份有限公司</t>
  </si>
  <si>
    <t>華新</t>
  </si>
  <si>
    <t>AHO</t>
  </si>
  <si>
    <t>CU</t>
  </si>
  <si>
    <t>中環股份有限公司</t>
  </si>
  <si>
    <t>中環</t>
  </si>
  <si>
    <t>AIA</t>
  </si>
  <si>
    <t>臺積電選擇權</t>
  </si>
  <si>
    <t>CW</t>
  </si>
  <si>
    <t>佳世達科技股份有限公司</t>
  </si>
  <si>
    <t>佳世達</t>
  </si>
  <si>
    <t>AIO</t>
  </si>
  <si>
    <t>CY</t>
  </si>
  <si>
    <t>南亞科技股份有限公司</t>
  </si>
  <si>
    <t>南亞科</t>
  </si>
  <si>
    <t>AJA</t>
  </si>
  <si>
    <t>CZ</t>
  </si>
  <si>
    <t>長榮海運股份有限公司</t>
  </si>
  <si>
    <t>長榮</t>
  </si>
  <si>
    <t>AJO</t>
  </si>
  <si>
    <t>DC</t>
  </si>
  <si>
    <t>彰化商業銀行股份有限公司</t>
  </si>
  <si>
    <t>彰銀</t>
  </si>
  <si>
    <t>AKA</t>
  </si>
  <si>
    <t>台塑選擇權</t>
  </si>
  <si>
    <t>DD</t>
  </si>
  <si>
    <t>新光金融控股股份有限公司</t>
  </si>
  <si>
    <t>新光金</t>
  </si>
  <si>
    <t>AKO</t>
  </si>
  <si>
    <t>DE</t>
  </si>
  <si>
    <t>永豐金融控股股份有限公司</t>
  </si>
  <si>
    <t>永豐金</t>
  </si>
  <si>
    <t>ALA</t>
  </si>
  <si>
    <t>仁寶選擇權</t>
  </si>
  <si>
    <t>DF</t>
  </si>
  <si>
    <t>台灣水泥股份有限公司</t>
  </si>
  <si>
    <t>台泥</t>
  </si>
  <si>
    <t>ALO</t>
  </si>
  <si>
    <t>DG</t>
  </si>
  <si>
    <t>台灣化學纖維股份有限公司</t>
  </si>
  <si>
    <t>台化</t>
  </si>
  <si>
    <t>AMA</t>
  </si>
  <si>
    <t>友達選擇權</t>
  </si>
  <si>
    <t>DH</t>
  </si>
  <si>
    <t>鴻海精密工業股份有限公司</t>
  </si>
  <si>
    <t>鴻海</t>
  </si>
  <si>
    <t>AMO</t>
  </si>
  <si>
    <t>DI</t>
  </si>
  <si>
    <t>旺宏電子股份有限公司</t>
  </si>
  <si>
    <t>旺宏</t>
  </si>
  <si>
    <t>ANA</t>
  </si>
  <si>
    <t>華映選擇權</t>
  </si>
  <si>
    <t>DJ</t>
  </si>
  <si>
    <t>華碩電腦股份有限公司</t>
  </si>
  <si>
    <t>華碩</t>
  </si>
  <si>
    <t>ANO</t>
  </si>
  <si>
    <t>DK</t>
  </si>
  <si>
    <t>廣達電腦股份有限公司</t>
  </si>
  <si>
    <t>廣達</t>
  </si>
  <si>
    <t>AOA</t>
  </si>
  <si>
    <t>華南金選擇權</t>
  </si>
  <si>
    <t>DL</t>
  </si>
  <si>
    <t>中華電信股份有限公司</t>
  </si>
  <si>
    <t>中華電</t>
  </si>
  <si>
    <t>AOO</t>
  </si>
  <si>
    <t>DN</t>
  </si>
  <si>
    <t>玉山金融控股股份有限公司</t>
  </si>
  <si>
    <t>玉山金</t>
  </si>
  <si>
    <t>APA</t>
  </si>
  <si>
    <t>國泰金選擇權</t>
  </si>
  <si>
    <t>DO</t>
  </si>
  <si>
    <t>元大金融控股股份有限公司</t>
  </si>
  <si>
    <t>元大金</t>
  </si>
  <si>
    <t>APB</t>
  </si>
  <si>
    <t>DP</t>
  </si>
  <si>
    <t xml:space="preserve">第一金融控股股份有限公司 </t>
  </si>
  <si>
    <t>第一金</t>
  </si>
  <si>
    <t>APO</t>
  </si>
  <si>
    <t>DQ</t>
  </si>
  <si>
    <t>群創光電股份有限公司</t>
  </si>
  <si>
    <t>群創</t>
  </si>
  <si>
    <t>AQA</t>
  </si>
  <si>
    <t>兆豐金選擇權</t>
  </si>
  <si>
    <t>DS</t>
  </si>
  <si>
    <t>宏碁股份有限公司</t>
  </si>
  <si>
    <t>宏碁</t>
  </si>
  <si>
    <t>AQO</t>
  </si>
  <si>
    <t>聯發科技股份有限公司</t>
  </si>
  <si>
    <t>聯發科</t>
  </si>
  <si>
    <t>ARA</t>
  </si>
  <si>
    <t>台新金選擇權</t>
  </si>
  <si>
    <t>DW</t>
  </si>
  <si>
    <t>潤泰全球股份有限公司</t>
  </si>
  <si>
    <t>潤泰全</t>
  </si>
  <si>
    <t>ARO</t>
  </si>
  <si>
    <t>DX</t>
  </si>
  <si>
    <t>緯創資通股份有限公司</t>
  </si>
  <si>
    <t>緯創</t>
  </si>
  <si>
    <t>ASA</t>
  </si>
  <si>
    <t>中信金選擇權</t>
  </si>
  <si>
    <t>DY</t>
  </si>
  <si>
    <t xml:space="preserve">亞洲水泥股份有限公司 </t>
  </si>
  <si>
    <t>亞泥</t>
  </si>
  <si>
    <t>ASO</t>
  </si>
  <si>
    <t>DZ</t>
  </si>
  <si>
    <t>大成長城企業股份有限公司</t>
  </si>
  <si>
    <t>大成</t>
  </si>
  <si>
    <t>ATA</t>
  </si>
  <si>
    <t>奇美電選擇權</t>
  </si>
  <si>
    <t>EE</t>
  </si>
  <si>
    <t xml:space="preserve">國喬石油化學股份有限公司 </t>
  </si>
  <si>
    <t>國喬</t>
  </si>
  <si>
    <t>ATO</t>
  </si>
  <si>
    <t>EG</t>
  </si>
  <si>
    <t>中國石油化學工業開發股份有限公司</t>
  </si>
  <si>
    <t>中石化</t>
  </si>
  <si>
    <t>AUA</t>
  </si>
  <si>
    <t>統一選擇權</t>
  </si>
  <si>
    <t>EH</t>
  </si>
  <si>
    <t xml:space="preserve">東陽實業廠股份有限公司 </t>
  </si>
  <si>
    <t>東陽</t>
  </si>
  <si>
    <t>AUO</t>
  </si>
  <si>
    <t>EM</t>
  </si>
  <si>
    <t>東元電機股份有限公司</t>
  </si>
  <si>
    <t>東元</t>
  </si>
  <si>
    <t>AVA</t>
  </si>
  <si>
    <t>遠紡選擇權</t>
  </si>
  <si>
    <t>EP</t>
  </si>
  <si>
    <t>亞德客國際集團</t>
  </si>
  <si>
    <t>亞德客-KY</t>
  </si>
  <si>
    <t>AVO</t>
  </si>
  <si>
    <t>ER</t>
  </si>
  <si>
    <t>南僑投資控股股份有限公司</t>
  </si>
  <si>
    <t>南僑</t>
  </si>
  <si>
    <t>AWA</t>
  </si>
  <si>
    <t>華新選擇權</t>
  </si>
  <si>
    <t>EY</t>
  </si>
  <si>
    <t>中國人造纖維股份有限公司</t>
  </si>
  <si>
    <t>中纖</t>
  </si>
  <si>
    <t>AWO</t>
  </si>
  <si>
    <t>EZ</t>
  </si>
  <si>
    <t>台灣肥料股份有限公司</t>
  </si>
  <si>
    <t>台肥</t>
  </si>
  <si>
    <t>AXA</t>
  </si>
  <si>
    <t>日月光選擇權</t>
  </si>
  <si>
    <t>FE</t>
  </si>
  <si>
    <t>大成不銹鋼工業股份有限公司</t>
  </si>
  <si>
    <t>大成鋼</t>
  </si>
  <si>
    <t>AXO</t>
  </si>
  <si>
    <t>FF</t>
  </si>
  <si>
    <t>上銀科技股份有限公司</t>
  </si>
  <si>
    <t>上銀</t>
  </si>
  <si>
    <t>AYO</t>
  </si>
  <si>
    <t>中環選擇權</t>
  </si>
  <si>
    <t>FG</t>
  </si>
  <si>
    <t>川湖科技股份有限公司</t>
  </si>
  <si>
    <t>川湖</t>
  </si>
  <si>
    <t>AZA</t>
  </si>
  <si>
    <t>矽品選擇權</t>
  </si>
  <si>
    <t>FK</t>
  </si>
  <si>
    <t>正新橡膠工業股份有限公司</t>
  </si>
  <si>
    <t>正新</t>
  </si>
  <si>
    <t>AZO</t>
  </si>
  <si>
    <t>FN</t>
  </si>
  <si>
    <t>裕隆汽車製造股份有限公司</t>
  </si>
  <si>
    <t>裕隆</t>
  </si>
  <si>
    <t>BAA</t>
  </si>
  <si>
    <t>佳世達選擇權</t>
  </si>
  <si>
    <t>FQ</t>
  </si>
  <si>
    <t>光寶科技股份有限公司</t>
  </si>
  <si>
    <t>光寶科</t>
  </si>
  <si>
    <t>BAO</t>
  </si>
  <si>
    <t>FR</t>
  </si>
  <si>
    <t>台達電子工業股份有限公司</t>
  </si>
  <si>
    <t>台達電</t>
  </si>
  <si>
    <t>BBO</t>
  </si>
  <si>
    <t>大同選擇權</t>
  </si>
  <si>
    <t>FT</t>
  </si>
  <si>
    <t>華通電腦股份有限公司</t>
  </si>
  <si>
    <t>華通</t>
  </si>
  <si>
    <t>BCA</t>
  </si>
  <si>
    <t>南科選擇權</t>
  </si>
  <si>
    <t>FV</t>
  </si>
  <si>
    <t>精英電腦股份有限公司</t>
  </si>
  <si>
    <t>精英</t>
  </si>
  <si>
    <t>BCO</t>
  </si>
  <si>
    <t>FW</t>
  </si>
  <si>
    <t>友訊科技股份有限公司</t>
  </si>
  <si>
    <t>友訊</t>
  </si>
  <si>
    <t>BDA</t>
  </si>
  <si>
    <t>長榮選擇權</t>
  </si>
  <si>
    <t>FY</t>
  </si>
  <si>
    <t>光磊科技股份有限公司</t>
  </si>
  <si>
    <t>光磊</t>
  </si>
  <si>
    <t>BDO</t>
  </si>
  <si>
    <t>FZ</t>
  </si>
  <si>
    <t>華邦電子股份有限公司</t>
  </si>
  <si>
    <t>華邦電</t>
  </si>
  <si>
    <t>BEA</t>
  </si>
  <si>
    <t>陽明選擇權</t>
  </si>
  <si>
    <t>GA</t>
  </si>
  <si>
    <t>聯強國際股份有限公司</t>
  </si>
  <si>
    <t>聯強</t>
  </si>
  <si>
    <t>BEO</t>
  </si>
  <si>
    <t>GC</t>
  </si>
  <si>
    <t>鴻準精密工業股份有限公司</t>
  </si>
  <si>
    <t>鴻準</t>
  </si>
  <si>
    <t>BFA</t>
  </si>
  <si>
    <t>華航選擇權</t>
  </si>
  <si>
    <t>GH</t>
  </si>
  <si>
    <t>技嘉科技股份有限公司</t>
  </si>
  <si>
    <t>技嘉</t>
  </si>
  <si>
    <t>BFO</t>
  </si>
  <si>
    <t>GI</t>
  </si>
  <si>
    <t>微星科技股份有限公司</t>
  </si>
  <si>
    <t>微星</t>
  </si>
  <si>
    <t>BGA</t>
  </si>
  <si>
    <t>彰銀選擇權</t>
  </si>
  <si>
    <t>GJ</t>
  </si>
  <si>
    <t>瑞昱半導體股份有限公司</t>
  </si>
  <si>
    <t>瑞昱</t>
  </si>
  <si>
    <t>BGO</t>
  </si>
  <si>
    <t>GL</t>
  </si>
  <si>
    <t>正崴精密工業股份有限公司</t>
  </si>
  <si>
    <t>正崴</t>
  </si>
  <si>
    <t>BHA</t>
  </si>
  <si>
    <t>新光金選擇權</t>
  </si>
  <si>
    <t>GM</t>
  </si>
  <si>
    <t>億光電子工業股份有限公司</t>
  </si>
  <si>
    <t>億光</t>
  </si>
  <si>
    <t>BHB</t>
  </si>
  <si>
    <t>GN</t>
  </si>
  <si>
    <t>凌陽科技股份有限公司</t>
  </si>
  <si>
    <t>凌陽</t>
  </si>
  <si>
    <t>BHO</t>
  </si>
  <si>
    <t>GO</t>
  </si>
  <si>
    <t>漢唐集成股份有限公司</t>
  </si>
  <si>
    <t>漢唐</t>
  </si>
  <si>
    <t>BIA</t>
  </si>
  <si>
    <t>永豐金選擇權</t>
  </si>
  <si>
    <t>GR</t>
  </si>
  <si>
    <t>京元電子股份有限公司</t>
  </si>
  <si>
    <t>京元電子</t>
  </si>
  <si>
    <t>BIO</t>
  </si>
  <si>
    <t>GU</t>
  </si>
  <si>
    <t>全新光電科技股份有限公司</t>
  </si>
  <si>
    <t>全新</t>
  </si>
  <si>
    <t>BRF</t>
  </si>
  <si>
    <t>布蘭特原油期貨</t>
  </si>
  <si>
    <t>GW</t>
  </si>
  <si>
    <t>義隆電子股份有限公司</t>
  </si>
  <si>
    <t>義隆</t>
  </si>
  <si>
    <t>BTF</t>
  </si>
  <si>
    <t>臺灣生技期貨</t>
  </si>
  <si>
    <t>GX</t>
  </si>
  <si>
    <t>可成科技股份有限公司</t>
  </si>
  <si>
    <t>可成</t>
  </si>
  <si>
    <t>南亞(股票期貨/選擇權)</t>
  </si>
  <si>
    <t>GZ</t>
  </si>
  <si>
    <t>兆赫電子股份有限公司</t>
  </si>
  <si>
    <t>兆赫</t>
  </si>
  <si>
    <t>CA1</t>
  </si>
  <si>
    <t>南亞期貨</t>
  </si>
  <si>
    <t>HA</t>
  </si>
  <si>
    <t>瑞軒科技股份有限公司</t>
  </si>
  <si>
    <t>瑞軒</t>
  </si>
  <si>
    <t>CAA</t>
  </si>
  <si>
    <t>HB</t>
  </si>
  <si>
    <t xml:space="preserve">華新科技股份有限公司 </t>
  </si>
  <si>
    <t>華新科</t>
  </si>
  <si>
    <t>CAF</t>
  </si>
  <si>
    <t>HC</t>
  </si>
  <si>
    <t>宏達國際電子股份有限公司</t>
  </si>
  <si>
    <t>宏達電</t>
  </si>
  <si>
    <t>CAO</t>
  </si>
  <si>
    <t>HH</t>
  </si>
  <si>
    <t>中華工程股份有限公司</t>
  </si>
  <si>
    <t>中工</t>
  </si>
  <si>
    <t>中鋼(股票期貨/選擇權)</t>
  </si>
  <si>
    <t>HI</t>
  </si>
  <si>
    <t>冠德建設股份有限公司</t>
  </si>
  <si>
    <t>冠德</t>
  </si>
  <si>
    <t>CB1</t>
  </si>
  <si>
    <t>中鋼期貨</t>
  </si>
  <si>
    <t>HL</t>
  </si>
  <si>
    <t>興富發建設股份有限公司</t>
  </si>
  <si>
    <t>興富發</t>
  </si>
  <si>
    <t>CBA</t>
  </si>
  <si>
    <t>HO</t>
  </si>
  <si>
    <t>華固建設股份有限公司</t>
  </si>
  <si>
    <t>華固</t>
  </si>
  <si>
    <t>CBF</t>
  </si>
  <si>
    <t>HS</t>
  </si>
  <si>
    <t>長榮航空股份有限公司</t>
  </si>
  <si>
    <t>長榮航</t>
  </si>
  <si>
    <t>CBO</t>
  </si>
  <si>
    <t>HY</t>
  </si>
  <si>
    <t>中國人壽保險股份有限公司</t>
  </si>
  <si>
    <t>中壽</t>
  </si>
  <si>
    <t>聯電(股票期貨/選擇權)</t>
  </si>
  <si>
    <t>IA</t>
  </si>
  <si>
    <t>臺灣中小企業銀行股份有限公司</t>
  </si>
  <si>
    <t>臺企銀</t>
  </si>
  <si>
    <t>CCA</t>
  </si>
  <si>
    <t>IH</t>
  </si>
  <si>
    <t>台灣農林股份有限公司</t>
  </si>
  <si>
    <t>農林</t>
  </si>
  <si>
    <t>CCF</t>
  </si>
  <si>
    <t>聯電期貨</t>
  </si>
  <si>
    <t>II</t>
  </si>
  <si>
    <t>晶豪科技股份有限公司</t>
  </si>
  <si>
    <t>晶豪科</t>
  </si>
  <si>
    <t>CCO</t>
  </si>
  <si>
    <t>IJ</t>
  </si>
  <si>
    <t>大立光電股份有限公司</t>
  </si>
  <si>
    <t>大立光</t>
  </si>
  <si>
    <t>台積電(股票期貨/選擇權)</t>
  </si>
  <si>
    <t>IM</t>
  </si>
  <si>
    <t>亞洲光學股份有限公司</t>
  </si>
  <si>
    <t>亞光</t>
  </si>
  <si>
    <t>CDA</t>
  </si>
  <si>
    <t>IO</t>
  </si>
  <si>
    <t>聯詠科技股份有限公司</t>
  </si>
  <si>
    <t>聯詠</t>
  </si>
  <si>
    <t>CDB</t>
  </si>
  <si>
    <t>IP</t>
  </si>
  <si>
    <t>智原科技股份有限公司</t>
  </si>
  <si>
    <t>智原</t>
  </si>
  <si>
    <t>CDF</t>
  </si>
  <si>
    <t>台積電期貨</t>
  </si>
  <si>
    <t>IQ</t>
  </si>
  <si>
    <t>文曄科技股份有限公司</t>
  </si>
  <si>
    <t>文曄</t>
  </si>
  <si>
    <t>CDO</t>
  </si>
  <si>
    <t>IR</t>
  </si>
  <si>
    <t>欣興電子股份有限公司</t>
  </si>
  <si>
    <t>欣興</t>
  </si>
  <si>
    <t>富邦金(股票期貨/選擇權)</t>
  </si>
  <si>
    <t>IT</t>
  </si>
  <si>
    <t>台灣晶技股份有限公司</t>
  </si>
  <si>
    <t>晶技</t>
  </si>
  <si>
    <t>CE1</t>
  </si>
  <si>
    <t>富邦金期貨</t>
  </si>
  <si>
    <t>IX</t>
  </si>
  <si>
    <t>景碩科技股份有限公司</t>
  </si>
  <si>
    <t>景碩</t>
  </si>
  <si>
    <t>CEA</t>
  </si>
  <si>
    <t>IY</t>
  </si>
  <si>
    <t>新日興股份有限公司</t>
  </si>
  <si>
    <t>新日興</t>
  </si>
  <si>
    <t>CEB</t>
  </si>
  <si>
    <t>IZ</t>
  </si>
  <si>
    <t>明泰科技股份有限公司</t>
  </si>
  <si>
    <t>明泰</t>
  </si>
  <si>
    <t>CEF</t>
  </si>
  <si>
    <t>JB</t>
  </si>
  <si>
    <t>創意電子股份有限公司</t>
  </si>
  <si>
    <t>創意</t>
  </si>
  <si>
    <t>CEO</t>
  </si>
  <si>
    <t>RW</t>
    <phoneticPr fontId="3" type="noConversion"/>
  </si>
  <si>
    <t>3443_1</t>
  </si>
  <si>
    <t>小創意</t>
    <phoneticPr fontId="3" type="noConversion"/>
  </si>
  <si>
    <t>台塑(股票期貨/選擇權)</t>
  </si>
  <si>
    <t>JF</t>
  </si>
  <si>
    <t>嘉澤端子工業股份有限公司</t>
  </si>
  <si>
    <t>嘉澤</t>
  </si>
  <si>
    <t>CF1</t>
  </si>
  <si>
    <t>台塑期貨</t>
  </si>
  <si>
    <t>JM</t>
  </si>
  <si>
    <t>健策精密工業股份有限公司</t>
  </si>
  <si>
    <t>健策</t>
  </si>
  <si>
    <t>CFA</t>
  </si>
  <si>
    <t>JN</t>
  </si>
  <si>
    <t>TPK Holding Co., Ltd.</t>
  </si>
  <si>
    <t>TPK-KY</t>
  </si>
  <si>
    <t>CFF</t>
  </si>
  <si>
    <t>JP</t>
  </si>
  <si>
    <t>大聯大投資控股股份有限公司</t>
  </si>
  <si>
    <t>大聯大</t>
  </si>
  <si>
    <t>CFO</t>
  </si>
  <si>
    <t>JS</t>
  </si>
  <si>
    <t>和碩聯合科技股份有限公司</t>
  </si>
  <si>
    <t>和碩</t>
  </si>
  <si>
    <t>仁寶(股票期貨/選擇權)</t>
  </si>
  <si>
    <t>JW</t>
  </si>
  <si>
    <t>長虹建設股份有限公司</t>
  </si>
  <si>
    <t>長虹</t>
  </si>
  <si>
    <t>CG1</t>
  </si>
  <si>
    <t>仁寶期貨</t>
  </si>
  <si>
    <t>JZ</t>
  </si>
  <si>
    <t>嘉聯益科技股份有限公司</t>
  </si>
  <si>
    <t>嘉聯益</t>
  </si>
  <si>
    <t>CGA</t>
  </si>
  <si>
    <t>KA</t>
  </si>
  <si>
    <t>瑞儀光電股份有限公司</t>
  </si>
  <si>
    <t>瑞儀</t>
  </si>
  <si>
    <t>CGF</t>
  </si>
  <si>
    <t>KB</t>
  </si>
  <si>
    <t>聯茂電子股份有限公司</t>
  </si>
  <si>
    <t>聯茂</t>
  </si>
  <si>
    <t>CGO</t>
  </si>
  <si>
    <t>KC</t>
  </si>
  <si>
    <t>力成科技股份有限公司</t>
  </si>
  <si>
    <t>力成</t>
  </si>
  <si>
    <t>友達(股票期貨/選擇權)</t>
  </si>
  <si>
    <t>KD</t>
  </si>
  <si>
    <t>同欣電子工業股份有限公司</t>
  </si>
  <si>
    <t>同欣電</t>
  </si>
  <si>
    <t>CH1</t>
  </si>
  <si>
    <t>友達期貨</t>
  </si>
  <si>
    <t>KE</t>
  </si>
  <si>
    <t>台灣表面黏著科技股份有限公司</t>
  </si>
  <si>
    <t>台表科</t>
  </si>
  <si>
    <t>CHA</t>
  </si>
  <si>
    <t>KF</t>
  </si>
  <si>
    <t>康舒科技股份有限公司</t>
  </si>
  <si>
    <t>康舒</t>
  </si>
  <si>
    <t>CHF</t>
  </si>
  <si>
    <t>KG</t>
  </si>
  <si>
    <t>啟碁科技股份有限公司</t>
  </si>
  <si>
    <t>啟碁</t>
  </si>
  <si>
    <t>CHO</t>
  </si>
  <si>
    <t>KI</t>
  </si>
  <si>
    <t>台虹科技股份有限公司</t>
  </si>
  <si>
    <t>台虹</t>
  </si>
  <si>
    <t>CIO</t>
  </si>
  <si>
    <t>KK</t>
  </si>
  <si>
    <t>達方電子股份有限公司</t>
  </si>
  <si>
    <t>達方</t>
  </si>
  <si>
    <t>華南金(股票期貨/選擇權)</t>
  </si>
  <si>
    <t>KL</t>
  </si>
  <si>
    <t>寶成工業股份有限公司</t>
  </si>
  <si>
    <t>寶成</t>
  </si>
  <si>
    <t>CJ1</t>
  </si>
  <si>
    <t>華南金期貨</t>
  </si>
  <si>
    <t>KO</t>
  </si>
  <si>
    <t>宏全國際股份有限公司</t>
  </si>
  <si>
    <t>宏全</t>
  </si>
  <si>
    <t>CJ2</t>
  </si>
  <si>
    <t>KP</t>
  </si>
  <si>
    <t>潤泰創新國際股份有限公司</t>
  </si>
  <si>
    <t>潤泰新</t>
  </si>
  <si>
    <t>CJA</t>
  </si>
  <si>
    <t>KS</t>
  </si>
  <si>
    <t>聚陽實業股份有限公司</t>
  </si>
  <si>
    <t>聚陽</t>
  </si>
  <si>
    <t>CJF</t>
  </si>
  <si>
    <t>KW</t>
  </si>
  <si>
    <t>廣宇科技股份有限公司</t>
  </si>
  <si>
    <t>廣宇</t>
  </si>
  <si>
    <t>CJO</t>
  </si>
  <si>
    <t>LB</t>
  </si>
  <si>
    <t>健鼎科技股份有限公司</t>
  </si>
  <si>
    <t>健鼎</t>
  </si>
  <si>
    <t>國泰金(股票期貨/選擇權)</t>
  </si>
  <si>
    <t>LC</t>
  </si>
  <si>
    <t>台灣大哥大股份有限公司</t>
  </si>
  <si>
    <t>台灣大</t>
  </si>
  <si>
    <t>CK1</t>
  </si>
  <si>
    <t>國泰金期貨</t>
  </si>
  <si>
    <t>LE</t>
  </si>
  <si>
    <t>玉晶光電股份有限公司</t>
  </si>
  <si>
    <t>玉晶光</t>
  </si>
  <si>
    <t>CK2</t>
  </si>
  <si>
    <t>LI</t>
  </si>
  <si>
    <t>台郡科技股份有限公司</t>
  </si>
  <si>
    <t>台郡</t>
  </si>
  <si>
    <t>CKA</t>
  </si>
  <si>
    <t>LM</t>
  </si>
  <si>
    <t>美利達工業股份有限公司</t>
  </si>
  <si>
    <t>美利達</t>
  </si>
  <si>
    <t>CKB</t>
  </si>
  <si>
    <t>LO</t>
  </si>
  <si>
    <t>合作金庫金融控股股份有限公司</t>
  </si>
  <si>
    <t>合庫金</t>
  </si>
  <si>
    <t>CKF</t>
  </si>
  <si>
    <t>LQ</t>
  </si>
  <si>
    <t>英業達股份有限公司</t>
  </si>
  <si>
    <t>英業達</t>
  </si>
  <si>
    <t>CKO</t>
  </si>
  <si>
    <t>LR</t>
  </si>
  <si>
    <t>中華開發金融控股股份有限公司</t>
  </si>
  <si>
    <t>開發金</t>
  </si>
  <si>
    <t>兆豐金(股票期貨/選擇權)</t>
  </si>
  <si>
    <t>LT</t>
  </si>
  <si>
    <t>遠傳電信股份有限公司</t>
  </si>
  <si>
    <t>遠傳</t>
  </si>
  <si>
    <t>CL1</t>
  </si>
  <si>
    <t>兆豐金期貨</t>
  </si>
  <si>
    <t>LU</t>
  </si>
  <si>
    <t>臻鼎科技控股股份有限公司</t>
  </si>
  <si>
    <t>臻鼎-KY</t>
  </si>
  <si>
    <t>CL2</t>
  </si>
  <si>
    <t>LV</t>
  </si>
  <si>
    <t>中租控股股份有限公司</t>
  </si>
  <si>
    <t>中租-KY</t>
  </si>
  <si>
    <t>CLA</t>
  </si>
  <si>
    <t>LW</t>
  </si>
  <si>
    <t>儒鴻企業股份有限公司</t>
  </si>
  <si>
    <t>儒鴻</t>
  </si>
  <si>
    <t>CLF</t>
  </si>
  <si>
    <t>LX</t>
  </si>
  <si>
    <t>國巨股份有限公司</t>
  </si>
  <si>
    <t>國巨</t>
  </si>
  <si>
    <t>CLO</t>
  </si>
  <si>
    <t>LY</t>
  </si>
  <si>
    <t>南亞電路板股份有限公司</t>
  </si>
  <si>
    <t>南電</t>
  </si>
  <si>
    <t>台新金(股票期貨/選擇權)</t>
  </si>
  <si>
    <t>MA</t>
  </si>
  <si>
    <t>葡萄王生技股份有限公司</t>
  </si>
  <si>
    <t>葡萄王</t>
  </si>
  <si>
    <t>CM1</t>
  </si>
  <si>
    <t>台新金期貨</t>
  </si>
  <si>
    <t>MB</t>
  </si>
  <si>
    <t>敬鵬工業股份有限公司</t>
  </si>
  <si>
    <t>敬鵬</t>
  </si>
  <si>
    <t>CM2</t>
  </si>
  <si>
    <t>MJ</t>
  </si>
  <si>
    <t>致茂電子股份有限公司</t>
  </si>
  <si>
    <t>致茂</t>
  </si>
  <si>
    <t>CMA</t>
  </si>
  <si>
    <t>MK</t>
  </si>
  <si>
    <t>美律實業股份有限公司</t>
  </si>
  <si>
    <t>美律</t>
  </si>
  <si>
    <t>CMF</t>
  </si>
  <si>
    <t>MP</t>
  </si>
  <si>
    <t>精誠資訊股份有限公司</t>
  </si>
  <si>
    <t>精誠</t>
  </si>
  <si>
    <t>CMO</t>
  </si>
  <si>
    <t>MQ</t>
  </si>
  <si>
    <t>矽格股份有限公司</t>
  </si>
  <si>
    <t>矽格</t>
  </si>
  <si>
    <t>中信金(股票期貨/選擇權)</t>
  </si>
  <si>
    <t>MV</t>
  </si>
  <si>
    <t>台灣百和工業股份有限公司</t>
  </si>
  <si>
    <t>百和</t>
  </si>
  <si>
    <t>CN1</t>
  </si>
  <si>
    <t>中信金期貨</t>
  </si>
  <si>
    <t>MY</t>
  </si>
  <si>
    <t>精華光學股份有限公司</t>
  </si>
  <si>
    <t>精華</t>
  </si>
  <si>
    <t>CN2</t>
  </si>
  <si>
    <t>NA</t>
  </si>
  <si>
    <t>穩懋半導體股份有限公司</t>
  </si>
  <si>
    <t>穩懋</t>
  </si>
  <si>
    <t>CNA</t>
  </si>
  <si>
    <t>NB</t>
  </si>
  <si>
    <t>璟德電子工業股份有限公司</t>
  </si>
  <si>
    <t>璟德</t>
  </si>
  <si>
    <t>CNB</t>
  </si>
  <si>
    <t>NC</t>
  </si>
  <si>
    <t>順達科技股份有限公司</t>
  </si>
  <si>
    <t>順達</t>
  </si>
  <si>
    <t>CNC</t>
  </si>
  <si>
    <t>ND</t>
  </si>
  <si>
    <t>威剛科技股份有限公司</t>
  </si>
  <si>
    <t>威剛</t>
  </si>
  <si>
    <t>CNF</t>
  </si>
  <si>
    <t>NE</t>
  </si>
  <si>
    <t>欣銓科技股份有限公司</t>
  </si>
  <si>
    <t>欣銓</t>
  </si>
  <si>
    <t>CNO</t>
  </si>
  <si>
    <t>NG</t>
  </si>
  <si>
    <t>碩禾電子材料股份有限公司</t>
  </si>
  <si>
    <t>碩禾</t>
  </si>
  <si>
    <t>COO</t>
  </si>
  <si>
    <t>NI</t>
  </si>
  <si>
    <t>晟德大藥廠股份有限公司</t>
  </si>
  <si>
    <t>晟德</t>
  </si>
  <si>
    <t>CPF</t>
  </si>
  <si>
    <t>三十天期利率期貨</t>
  </si>
  <si>
    <t>NJ</t>
  </si>
  <si>
    <t>榮剛材料科技股份有限公司</t>
  </si>
  <si>
    <t>榮剛</t>
  </si>
  <si>
    <t>統一(股票期貨/選擇權)</t>
  </si>
  <si>
    <t>NL</t>
  </si>
  <si>
    <t>世界先進積體電路股份有限公司</t>
  </si>
  <si>
    <t>世界</t>
  </si>
  <si>
    <t>CQ1</t>
  </si>
  <si>
    <t>統一期貨</t>
  </si>
  <si>
    <t>NM</t>
  </si>
  <si>
    <t>中強光電股份有限公司</t>
  </si>
  <si>
    <t>中光電</t>
  </si>
  <si>
    <t>CQA</t>
  </si>
  <si>
    <t>NO</t>
  </si>
  <si>
    <t>中美矽晶製品股份有限公司</t>
  </si>
  <si>
    <t>中美晶</t>
  </si>
  <si>
    <t>CQF</t>
  </si>
  <si>
    <t>NQ</t>
  </si>
  <si>
    <t>新普科技股份有限公司</t>
  </si>
  <si>
    <t>新普</t>
  </si>
  <si>
    <t>CQO</t>
  </si>
  <si>
    <t>NS</t>
  </si>
  <si>
    <t>頎邦科技股份有限公司</t>
  </si>
  <si>
    <t>頎邦</t>
  </si>
  <si>
    <t>遠東新(股票期貨/選擇權)</t>
  </si>
  <si>
    <t>NU</t>
  </si>
  <si>
    <t>網路家庭國際資訊股份有限公司</t>
  </si>
  <si>
    <t>網家</t>
  </si>
  <si>
    <t>CR1</t>
  </si>
  <si>
    <t>遠東新期貨</t>
  </si>
  <si>
    <t>NV</t>
  </si>
  <si>
    <t>元太科技工業股份有限公司</t>
  </si>
  <si>
    <t>元太</t>
  </si>
  <si>
    <t>CRA</t>
  </si>
  <si>
    <t>遠東新選擇權</t>
  </si>
  <si>
    <t>NW</t>
  </si>
  <si>
    <t>群聯電子股份有限公司</t>
  </si>
  <si>
    <t>群聯</t>
  </si>
  <si>
    <t>CRF</t>
  </si>
  <si>
    <t>NX</t>
  </si>
  <si>
    <t>森鉅科技材料股份有限公司</t>
  </si>
  <si>
    <t>森鉅</t>
  </si>
  <si>
    <t>CRO</t>
  </si>
  <si>
    <t>NY</t>
  </si>
  <si>
    <t>元大台灣卓越50證券投資信託基金</t>
  </si>
  <si>
    <t>0050</t>
  </si>
  <si>
    <t>元大台灣50ETF</t>
  </si>
  <si>
    <t>華新(股票期貨/選擇權)</t>
  </si>
  <si>
    <t>NZ</t>
  </si>
  <si>
    <t>元大標智滬深300證券投資信託基金</t>
  </si>
  <si>
    <t>0061</t>
  </si>
  <si>
    <t>元大寶滬深ETF</t>
  </si>
  <si>
    <t>CS1</t>
  </si>
  <si>
    <t>華新期貨</t>
  </si>
  <si>
    <t>OA</t>
  </si>
  <si>
    <t>富邦上証180證券投資信託基金</t>
  </si>
  <si>
    <t>006205</t>
  </si>
  <si>
    <t>富邦上証ETF</t>
  </si>
  <si>
    <t>CSA</t>
  </si>
  <si>
    <t>OB</t>
  </si>
  <si>
    <t>元大中國傘型證券投資信託基金之上證50證券投資信託基金</t>
  </si>
  <si>
    <t>006206</t>
  </si>
  <si>
    <t>元大上證50ETF</t>
  </si>
  <si>
    <t>CSF</t>
  </si>
  <si>
    <t>OC</t>
  </si>
  <si>
    <t>復華滬深300 A股證券投資信託基金</t>
  </si>
  <si>
    <t>006207</t>
  </si>
  <si>
    <t>FH滬深ETF</t>
  </si>
  <si>
    <t>CSO</t>
  </si>
  <si>
    <t>OD</t>
  </si>
  <si>
    <t>為升電裝工業股份有限公司</t>
  </si>
  <si>
    <t>為升</t>
  </si>
  <si>
    <t>CT1</t>
  </si>
  <si>
    <t>日月光期貨</t>
  </si>
  <si>
    <t>OE</t>
  </si>
  <si>
    <t>瀚宇彩晶股份有限公司</t>
  </si>
  <si>
    <t>彩晶</t>
  </si>
  <si>
    <t>CTA</t>
  </si>
  <si>
    <t>OH</t>
  </si>
  <si>
    <t>胡連精密股份有限公司</t>
  </si>
  <si>
    <t>胡連</t>
  </si>
  <si>
    <t>CTF</t>
  </si>
  <si>
    <t>OJ</t>
  </si>
  <si>
    <t>國泰富時中國A50證券投資信託基金</t>
  </si>
  <si>
    <t>00636</t>
  </si>
  <si>
    <t>國泰中國A50ETF</t>
  </si>
  <si>
    <t>CTO</t>
  </si>
  <si>
    <t>OK</t>
  </si>
  <si>
    <t>富邦深証100證券投資信託基金</t>
  </si>
  <si>
    <t>00639</t>
  </si>
  <si>
    <t>富邦深100ETF</t>
  </si>
  <si>
    <t>中環(股票期貨)</t>
  </si>
  <si>
    <t>OL</t>
  </si>
  <si>
    <t>3008_1</t>
  </si>
  <si>
    <t>小大立光</t>
    <phoneticPr fontId="20" type="noConversion"/>
  </si>
  <si>
    <t>CU1</t>
  </si>
  <si>
    <t>中環期貨</t>
  </si>
  <si>
    <t>OM</t>
  </si>
  <si>
    <t>1565_1</t>
  </si>
  <si>
    <t>小精華</t>
    <phoneticPr fontId="20" type="noConversion"/>
  </si>
  <si>
    <t>CUF</t>
  </si>
  <si>
    <t>OO</t>
  </si>
  <si>
    <t>群益深証中小板證券投資信託基金</t>
  </si>
  <si>
    <t>00643</t>
  </si>
  <si>
    <t>群益深証中小ETF</t>
  </si>
  <si>
    <t>CUO</t>
  </si>
  <si>
    <t>OP</t>
  </si>
  <si>
    <t>智邦科技股份有限公司</t>
  </si>
  <si>
    <t>智邦</t>
  </si>
  <si>
    <t>CV1</t>
  </si>
  <si>
    <t>矽品期貨</t>
  </si>
  <si>
    <t>OQ</t>
  </si>
  <si>
    <t>樺漢科技股份有限公司</t>
  </si>
  <si>
    <t>樺漢</t>
  </si>
  <si>
    <t>CVA</t>
  </si>
  <si>
    <t>OR</t>
  </si>
  <si>
    <t>和大工業股份有限公司</t>
  </si>
  <si>
    <t>和大</t>
  </si>
  <si>
    <t>CVF</t>
  </si>
  <si>
    <t>OS</t>
  </si>
  <si>
    <t>榮成紙業股份有限公司</t>
  </si>
  <si>
    <t>榮成</t>
  </si>
  <si>
    <t>CVO</t>
  </si>
  <si>
    <t>OT</t>
  </si>
  <si>
    <t>聯亞光電工業股份有限公司</t>
  </si>
  <si>
    <t>聯亞</t>
  </si>
  <si>
    <t>佳世達(股票期貨)</t>
  </si>
  <si>
    <t>OU</t>
  </si>
  <si>
    <t>同致電子企業股份有限公司</t>
  </si>
  <si>
    <t>同致</t>
  </si>
  <si>
    <t>CW1</t>
  </si>
  <si>
    <t>佳世達期貨</t>
  </si>
  <si>
    <t>OV</t>
  </si>
  <si>
    <t>台燿科技股份有限公司</t>
  </si>
  <si>
    <t>台燿</t>
  </si>
  <si>
    <t>CWF</t>
  </si>
  <si>
    <t>OW</t>
  </si>
  <si>
    <t>環球晶圓股份有限公司</t>
  </si>
  <si>
    <t>環球晶</t>
  </si>
  <si>
    <t>CWO</t>
  </si>
  <si>
    <t>OX</t>
  </si>
  <si>
    <t>中華精測科技股份有限公司</t>
  </si>
  <si>
    <t>精測</t>
  </si>
  <si>
    <t>CX</t>
  </si>
  <si>
    <t>大同(股票期貨)</t>
  </si>
  <si>
    <t>OY</t>
  </si>
  <si>
    <t>6510_1</t>
  </si>
  <si>
    <t>小精測</t>
    <phoneticPr fontId="20" type="noConversion"/>
  </si>
  <si>
    <t>CXA</t>
  </si>
  <si>
    <t>OZ</t>
  </si>
  <si>
    <t>日月光投資控股股份有限公司</t>
  </si>
  <si>
    <t>日月光投控</t>
  </si>
  <si>
    <t>CXF</t>
  </si>
  <si>
    <t>大同期貨</t>
  </si>
  <si>
    <t>PA</t>
  </si>
  <si>
    <t>原相科技股份有限公司</t>
  </si>
  <si>
    <t>原相</t>
  </si>
  <si>
    <t>CXO</t>
  </si>
  <si>
    <t>PB</t>
  </si>
  <si>
    <t>6488_1</t>
  </si>
  <si>
    <t>小環球晶</t>
    <phoneticPr fontId="20" type="noConversion"/>
  </si>
  <si>
    <t>南亞科(股票期貨)</t>
  </si>
  <si>
    <t>PC</t>
  </si>
  <si>
    <t>智擎生技製藥股份有限公司</t>
  </si>
  <si>
    <t>智擎</t>
  </si>
  <si>
    <t>CYA</t>
  </si>
  <si>
    <t>PD</t>
  </si>
  <si>
    <t>泰博科技股份有限公司</t>
  </si>
  <si>
    <t>泰博</t>
  </si>
  <si>
    <t>CYF</t>
  </si>
  <si>
    <t>南亞科期貨</t>
  </si>
  <si>
    <t>PE</t>
  </si>
  <si>
    <t>台灣半導體股份有限公司</t>
  </si>
  <si>
    <t>台半</t>
  </si>
  <si>
    <t>CYO</t>
  </si>
  <si>
    <t>PF</t>
  </si>
  <si>
    <t>元大台灣高股息證券投資信託基金</t>
  </si>
  <si>
    <t>0056</t>
  </si>
  <si>
    <t>元大高股息ETF</t>
  </si>
  <si>
    <t>長榮(股票期貨/選擇權)</t>
  </si>
  <si>
    <t>PG</t>
  </si>
  <si>
    <t>台灣高速鐵路股份有限公司</t>
  </si>
  <si>
    <t>台灣高鐵</t>
  </si>
  <si>
    <t>CZ1</t>
  </si>
  <si>
    <t>長榮期貨</t>
  </si>
  <si>
    <t>PH</t>
  </si>
  <si>
    <t>祥碩科技股份有限公司</t>
  </si>
  <si>
    <t>祥碩</t>
  </si>
  <si>
    <t>CZ2</t>
  </si>
  <si>
    <t>PI</t>
  </si>
  <si>
    <t>力旺電子股份有限公司</t>
  </si>
  <si>
    <t>力旺</t>
  </si>
  <si>
    <t>CZA</t>
  </si>
  <si>
    <t>PJ</t>
  </si>
  <si>
    <t>台光電子材料股份有限公司</t>
  </si>
  <si>
    <t>台光電</t>
  </si>
  <si>
    <t>CZF</t>
  </si>
  <si>
    <t>PK</t>
  </si>
  <si>
    <t>信昌電子陶瓷股份有限公司</t>
  </si>
  <si>
    <t>信昌電</t>
  </si>
  <si>
    <t>CZO</t>
  </si>
  <si>
    <t>PL</t>
  </si>
  <si>
    <t>合晶科技股份有限公司</t>
  </si>
  <si>
    <t>合晶</t>
  </si>
  <si>
    <t>DA</t>
  </si>
  <si>
    <t>陽明(股票期貨)</t>
  </si>
  <si>
    <t>PM</t>
  </si>
  <si>
    <t>大江生醫股份有限公司</t>
  </si>
  <si>
    <t>大江</t>
  </si>
  <si>
    <t>DA1</t>
  </si>
  <si>
    <t>陽明期貨</t>
  </si>
  <si>
    <t>PN</t>
  </si>
  <si>
    <t>5269_1</t>
  </si>
  <si>
    <t>小祥碩</t>
    <phoneticPr fontId="20" type="noConversion"/>
  </si>
  <si>
    <t>DAA</t>
  </si>
  <si>
    <t>PO</t>
  </si>
  <si>
    <t>神盾股份有限公司</t>
  </si>
  <si>
    <t>神盾</t>
  </si>
  <si>
    <t>DAF</t>
  </si>
  <si>
    <t>PP</t>
  </si>
  <si>
    <t>宣德科技股份有限公司</t>
  </si>
  <si>
    <t>宣德</t>
  </si>
  <si>
    <t>DAO</t>
  </si>
  <si>
    <t>PQ</t>
  </si>
  <si>
    <t>金居開發股份有限公司</t>
  </si>
  <si>
    <t>金居</t>
  </si>
  <si>
    <t>DB</t>
  </si>
  <si>
    <t>華航(股票期貨)</t>
  </si>
  <si>
    <t>PR</t>
  </si>
  <si>
    <t>宏捷科技股份有限公司</t>
  </si>
  <si>
    <t>宏捷科</t>
  </si>
  <si>
    <t>DB1</t>
  </si>
  <si>
    <t>華航期貨</t>
  </si>
  <si>
    <t>PS</t>
  </si>
  <si>
    <t xml:space="preserve">神達投資控股股份有限公司 </t>
  </si>
  <si>
    <t>神達</t>
  </si>
  <si>
    <t>DBA</t>
  </si>
  <si>
    <t>PT</t>
  </si>
  <si>
    <t>雙鴻科技股份有限公司</t>
  </si>
  <si>
    <t>雙鴻</t>
  </si>
  <si>
    <t>DBF</t>
  </si>
  <si>
    <t>PU</t>
  </si>
  <si>
    <t>2454_1</t>
  </si>
  <si>
    <t>小聯發科</t>
    <phoneticPr fontId="20" type="noConversion"/>
  </si>
  <si>
    <t>DBO</t>
  </si>
  <si>
    <t>PV</t>
  </si>
  <si>
    <t>緯穎科技服務股份有限公司</t>
  </si>
  <si>
    <t>緯穎</t>
  </si>
  <si>
    <t>彰銀(股票期貨/選擇權)</t>
  </si>
  <si>
    <t>PW</t>
  </si>
  <si>
    <t>6669_1</t>
  </si>
  <si>
    <t>小緯穎</t>
    <phoneticPr fontId="20" type="noConversion"/>
  </si>
  <si>
    <t>DC1</t>
  </si>
  <si>
    <t>彰銀期貨</t>
  </si>
  <si>
    <t>PX</t>
  </si>
  <si>
    <t>鈊象電子股份有限公司</t>
  </si>
  <si>
    <t>鈊象</t>
  </si>
  <si>
    <t>DCA</t>
  </si>
  <si>
    <t>PY</t>
  </si>
  <si>
    <t>3293_1</t>
  </si>
  <si>
    <t>小鈊象</t>
    <phoneticPr fontId="20" type="noConversion"/>
  </si>
  <si>
    <t>DCF</t>
  </si>
  <si>
    <t>PZ</t>
  </si>
  <si>
    <t>信驊科技股份有限公司</t>
  </si>
  <si>
    <t>信驊</t>
  </si>
  <si>
    <t>DCO</t>
  </si>
  <si>
    <t>QA</t>
  </si>
  <si>
    <t>5274_1</t>
  </si>
  <si>
    <t>小信驊</t>
    <phoneticPr fontId="20" type="noConversion"/>
  </si>
  <si>
    <t>新光金(股票期貨/選擇權)</t>
  </si>
  <si>
    <t>QB</t>
  </si>
  <si>
    <t>富采投資控股股份有限公司</t>
  </si>
  <si>
    <t>富采</t>
  </si>
  <si>
    <t>DD1</t>
  </si>
  <si>
    <t>新光金期貨</t>
  </si>
  <si>
    <t>QC</t>
  </si>
  <si>
    <t>裕民航運股份有限公司</t>
  </si>
  <si>
    <t>裕民</t>
  </si>
  <si>
    <t>DD2</t>
  </si>
  <si>
    <t>QD</t>
  </si>
  <si>
    <t>台塑勝高科技股份有限公司</t>
  </si>
  <si>
    <t>台勝科</t>
  </si>
  <si>
    <t>DDA</t>
  </si>
  <si>
    <t>QE</t>
  </si>
  <si>
    <t>2327_1</t>
  </si>
  <si>
    <t>小國巨</t>
    <phoneticPr fontId="20" type="noConversion"/>
  </si>
  <si>
    <t>DDF</t>
  </si>
  <si>
    <t>QF</t>
  </si>
  <si>
    <t>2330_1</t>
  </si>
  <si>
    <t>小台積電</t>
    <phoneticPr fontId="20" type="noConversion"/>
  </si>
  <si>
    <t>DDO</t>
  </si>
  <si>
    <t>QG</t>
  </si>
  <si>
    <t>2379_1</t>
  </si>
  <si>
    <t>小瑞昱</t>
    <phoneticPr fontId="20" type="noConversion"/>
  </si>
  <si>
    <t>永豐金(股票期貨/選擇權)</t>
  </si>
  <si>
    <t>QH</t>
  </si>
  <si>
    <t>3034_1</t>
  </si>
  <si>
    <t>小聯詠</t>
    <phoneticPr fontId="20" type="noConversion"/>
  </si>
  <si>
    <t>DE1</t>
  </si>
  <si>
    <t>永豐金期貨</t>
  </si>
  <si>
    <t>QI</t>
  </si>
  <si>
    <t>3105_1</t>
  </si>
  <si>
    <t>小穩懋</t>
    <phoneticPr fontId="20" type="noConversion"/>
  </si>
  <si>
    <t>DE2</t>
  </si>
  <si>
    <t>QJ</t>
  </si>
  <si>
    <t>3406_1</t>
  </si>
  <si>
    <t>小玉晶光</t>
    <phoneticPr fontId="20" type="noConversion"/>
  </si>
  <si>
    <t>DEA</t>
  </si>
  <si>
    <t>QK</t>
  </si>
  <si>
    <t>永豐餘投資控股股份有限公司</t>
  </si>
  <si>
    <t>永豐餘</t>
  </si>
  <si>
    <t>DEB</t>
  </si>
  <si>
    <t>QL</t>
  </si>
  <si>
    <t>精材科技股份有限公司</t>
  </si>
  <si>
    <t>精材</t>
  </si>
  <si>
    <t>DEF</t>
  </si>
  <si>
    <t>QM</t>
  </si>
  <si>
    <t>2049_1</t>
  </si>
  <si>
    <t>小上銀</t>
    <phoneticPr fontId="20" type="noConversion"/>
  </si>
  <si>
    <t>DEO</t>
  </si>
  <si>
    <t>QN</t>
  </si>
  <si>
    <t>8299_1</t>
  </si>
  <si>
    <t>小群聯</t>
    <phoneticPr fontId="20" type="noConversion"/>
  </si>
  <si>
    <t>台泥(股票期貨/選擇權)</t>
  </si>
  <si>
    <t>QO</t>
  </si>
  <si>
    <t>長興材料工業股份有限公司</t>
  </si>
  <si>
    <t>長興</t>
  </si>
  <si>
    <t>DF1</t>
  </si>
  <si>
    <t>台泥期貨</t>
  </si>
  <si>
    <t>KU</t>
  </si>
  <si>
    <t>台灣玻璃工業股份有限公司</t>
  </si>
  <si>
    <t>台玻</t>
  </si>
  <si>
    <t>DF2</t>
  </si>
  <si>
    <t>QP</t>
  </si>
  <si>
    <t>正隆股份有限公司</t>
  </si>
  <si>
    <t>正隆</t>
  </si>
  <si>
    <t>DFA</t>
  </si>
  <si>
    <t>台泥選擇權</t>
  </si>
  <si>
    <t>FB</t>
  </si>
  <si>
    <t>東和鋼鐵企業股份有限公司</t>
  </si>
  <si>
    <t>東和鋼鐵</t>
  </si>
  <si>
    <t>DFF</t>
  </si>
  <si>
    <t>QQ</t>
  </si>
  <si>
    <t>僑威科技股份有限公司</t>
  </si>
  <si>
    <t>僑威</t>
  </si>
  <si>
    <t>DFO</t>
  </si>
  <si>
    <t>QR</t>
  </si>
  <si>
    <t>2357_1</t>
  </si>
  <si>
    <t>小華碩</t>
    <phoneticPr fontId="20" type="noConversion"/>
  </si>
  <si>
    <t>台化(股票期貨/選擇權)</t>
  </si>
  <si>
    <t>QS</t>
  </si>
  <si>
    <t>8046_1</t>
  </si>
  <si>
    <t>小南電</t>
    <phoneticPr fontId="20" type="noConversion"/>
  </si>
  <si>
    <t>DG1</t>
  </si>
  <si>
    <t>台化期貨</t>
  </si>
  <si>
    <t>TX</t>
  </si>
  <si>
    <t>台指期</t>
    <phoneticPr fontId="20" type="noConversion"/>
  </si>
  <si>
    <t>日</t>
    <phoneticPr fontId="20" type="noConversion"/>
  </si>
  <si>
    <t>夜</t>
    <phoneticPr fontId="20" type="noConversion"/>
  </si>
  <si>
    <t>200元/點</t>
    <phoneticPr fontId="20" type="noConversion"/>
  </si>
  <si>
    <t>DGA</t>
  </si>
  <si>
    <t>台化選擇權</t>
  </si>
  <si>
    <t>MT</t>
    <phoneticPr fontId="20" type="noConversion"/>
  </si>
  <si>
    <t>小型台指期</t>
    <phoneticPr fontId="20" type="noConversion"/>
  </si>
  <si>
    <t>50元/點</t>
    <phoneticPr fontId="20" type="noConversion"/>
  </si>
  <si>
    <t>DGF</t>
  </si>
  <si>
    <t>TE</t>
    <phoneticPr fontId="20" type="noConversion"/>
  </si>
  <si>
    <t>電子期</t>
    <phoneticPr fontId="20" type="noConversion"/>
  </si>
  <si>
    <t>4K元/點</t>
    <phoneticPr fontId="20" type="noConversion"/>
  </si>
  <si>
    <t>DGO</t>
  </si>
  <si>
    <t>ZE</t>
    <phoneticPr fontId="20" type="noConversion"/>
  </si>
  <si>
    <t>小型電子</t>
    <phoneticPr fontId="20" type="noConversion"/>
  </si>
  <si>
    <t>500元/點</t>
    <phoneticPr fontId="20" type="noConversion"/>
  </si>
  <si>
    <t>鴻海(股票期貨/選擇權)</t>
  </si>
  <si>
    <t>SO</t>
    <phoneticPr fontId="20" type="noConversion"/>
  </si>
  <si>
    <t>半導體30期</t>
    <phoneticPr fontId="20" type="noConversion"/>
  </si>
  <si>
    <t>DH1</t>
  </si>
  <si>
    <t>鴻海期貨</t>
  </si>
  <si>
    <t>TF</t>
    <phoneticPr fontId="20" type="noConversion"/>
  </si>
  <si>
    <t>金融期</t>
    <phoneticPr fontId="20" type="noConversion"/>
  </si>
  <si>
    <t>1K元/點</t>
    <phoneticPr fontId="20" type="noConversion"/>
  </si>
  <si>
    <t>DHA</t>
  </si>
  <si>
    <t>鴻海選擇權</t>
  </si>
  <si>
    <t>ZF</t>
    <phoneticPr fontId="20" type="noConversion"/>
  </si>
  <si>
    <t>小型金融期</t>
    <phoneticPr fontId="20" type="noConversion"/>
  </si>
  <si>
    <t>250元/點</t>
    <phoneticPr fontId="20" type="noConversion"/>
  </si>
  <si>
    <t>DHF</t>
  </si>
  <si>
    <t>GT</t>
    <phoneticPr fontId="20" type="noConversion"/>
  </si>
  <si>
    <t>櫃買期</t>
    <phoneticPr fontId="20" type="noConversion"/>
  </si>
  <si>
    <t>DHO</t>
  </si>
  <si>
    <t>BT</t>
    <phoneticPr fontId="20" type="noConversion"/>
  </si>
  <si>
    <t>臺灣生技期</t>
    <phoneticPr fontId="20" type="noConversion"/>
  </si>
  <si>
    <t>旺宏(股票期貨)</t>
  </si>
  <si>
    <t>SH</t>
    <phoneticPr fontId="20" type="noConversion"/>
  </si>
  <si>
    <t>航運期</t>
    <phoneticPr fontId="20" type="noConversion"/>
  </si>
  <si>
    <t>DI1</t>
  </si>
  <si>
    <t>旺宏期貨</t>
  </si>
  <si>
    <t>UN</t>
    <phoneticPr fontId="20" type="noConversion"/>
  </si>
  <si>
    <t>美國那斯達克100期</t>
    <phoneticPr fontId="20" type="noConversion"/>
  </si>
  <si>
    <t>DIA</t>
  </si>
  <si>
    <t>旺宏選擇權</t>
  </si>
  <si>
    <t>SP</t>
    <phoneticPr fontId="20" type="noConversion"/>
  </si>
  <si>
    <t>美國標普500期</t>
    <phoneticPr fontId="20" type="noConversion"/>
  </si>
  <si>
    <t>DIF</t>
  </si>
  <si>
    <t>UD</t>
    <phoneticPr fontId="20" type="noConversion"/>
  </si>
  <si>
    <t>美國道瓊期</t>
    <phoneticPr fontId="20" type="noConversion"/>
  </si>
  <si>
    <t>20元/點</t>
    <phoneticPr fontId="20" type="noConversion"/>
  </si>
  <si>
    <t>DIO</t>
  </si>
  <si>
    <t>SX</t>
    <phoneticPr fontId="20" type="noConversion"/>
  </si>
  <si>
    <t>美國費城半導體期</t>
    <phoneticPr fontId="20" type="noConversion"/>
  </si>
  <si>
    <t>華碩(股票期貨/選擇權)</t>
  </si>
  <si>
    <t>TJ</t>
    <phoneticPr fontId="20" type="noConversion"/>
  </si>
  <si>
    <t>東證期</t>
    <phoneticPr fontId="20" type="noConversion"/>
  </si>
  <si>
    <t>08:00-16:15</t>
    <phoneticPr fontId="20" type="noConversion"/>
  </si>
  <si>
    <t>80元/點</t>
    <phoneticPr fontId="20" type="noConversion"/>
  </si>
  <si>
    <t>DJ1</t>
  </si>
  <si>
    <t>華碩期貨</t>
  </si>
  <si>
    <t>小台指期</t>
    <phoneticPr fontId="20" type="noConversion"/>
  </si>
  <si>
    <t>DJA</t>
  </si>
  <si>
    <t>華碩選擇權</t>
  </si>
  <si>
    <t>小電子</t>
    <phoneticPr fontId="20" type="noConversion"/>
  </si>
  <si>
    <t>DJF</t>
  </si>
  <si>
    <t>小金融期</t>
    <phoneticPr fontId="20" type="noConversion"/>
  </si>
  <si>
    <t>DJO</t>
  </si>
  <si>
    <t>福懋</t>
  </si>
  <si>
    <t>廣達(股票期貨/選擇權)</t>
  </si>
  <si>
    <t>佳格</t>
  </si>
  <si>
    <t>DK1</t>
  </si>
  <si>
    <t>廣達期貨</t>
  </si>
  <si>
    <t>DKA</t>
  </si>
  <si>
    <t>廣達選擇權</t>
  </si>
  <si>
    <t>世芯-KY</t>
  </si>
  <si>
    <t>DKF</t>
  </si>
  <si>
    <t>DKO</t>
  </si>
  <si>
    <t>中華電(股票期貨/選擇權)</t>
  </si>
  <si>
    <t>DL1</t>
  </si>
  <si>
    <t>中華電期貨</t>
  </si>
  <si>
    <t>DL2</t>
  </si>
  <si>
    <t>DLA</t>
  </si>
  <si>
    <t>中華電選擇權</t>
  </si>
  <si>
    <t>DLF</t>
  </si>
  <si>
    <t>DLO</t>
  </si>
  <si>
    <t>DM1</t>
  </si>
  <si>
    <t>寶來證期貨</t>
  </si>
  <si>
    <t>DMA</t>
  </si>
  <si>
    <t>寶來證選擇權</t>
  </si>
  <si>
    <t>DMF</t>
  </si>
  <si>
    <t>DMO</t>
  </si>
  <si>
    <t>玉山金(股票期貨/選擇權)</t>
  </si>
  <si>
    <t>DN1</t>
  </si>
  <si>
    <t>玉山金期貨</t>
  </si>
  <si>
    <t>DN2</t>
  </si>
  <si>
    <t>DNA</t>
  </si>
  <si>
    <t>玉山金選擇權</t>
  </si>
  <si>
    <t>DNB</t>
  </si>
  <si>
    <t>DNF</t>
  </si>
  <si>
    <t>DNO</t>
  </si>
  <si>
    <t>元大金(股票期貨/選擇權)</t>
  </si>
  <si>
    <t>DO1</t>
  </si>
  <si>
    <t>元大金期貨</t>
  </si>
  <si>
    <t>DO2</t>
  </si>
  <si>
    <t>DOA</t>
  </si>
  <si>
    <t>元大金選擇權</t>
  </si>
  <si>
    <t>DOB</t>
  </si>
  <si>
    <t>DOF</t>
  </si>
  <si>
    <t>DOO</t>
  </si>
  <si>
    <t>第一金(股票期貨/選擇權)</t>
  </si>
  <si>
    <t>DP1</t>
  </si>
  <si>
    <t>第一金期貨</t>
  </si>
  <si>
    <t>DPA</t>
  </si>
  <si>
    <t>第一金選擇權</t>
  </si>
  <si>
    <t>DPF</t>
  </si>
  <si>
    <t>DPO</t>
  </si>
  <si>
    <t>群創(股票期貨/選擇權)</t>
  </si>
  <si>
    <t>DQ1</t>
  </si>
  <si>
    <t>群創期貨</t>
  </si>
  <si>
    <t>DQA</t>
  </si>
  <si>
    <t>群創選擇權</t>
  </si>
  <si>
    <t>DQF</t>
  </si>
  <si>
    <t>DQO</t>
  </si>
  <si>
    <t>DR1</t>
  </si>
  <si>
    <t>合庫期貨</t>
  </si>
  <si>
    <t>DRA</t>
  </si>
  <si>
    <t>合庫選擇權</t>
  </si>
  <si>
    <t>DRF</t>
  </si>
  <si>
    <t>DRO</t>
  </si>
  <si>
    <t>宏碁(股票期貨/選擇權)</t>
  </si>
  <si>
    <t>DS1</t>
  </si>
  <si>
    <t>宏碁期貨</t>
  </si>
  <si>
    <t>DSA</t>
  </si>
  <si>
    <t>宏碁選擇權</t>
  </si>
  <si>
    <t>DSF</t>
  </si>
  <si>
    <t>DSO</t>
  </si>
  <si>
    <t>DT1</t>
  </si>
  <si>
    <t>勝華期貨</t>
  </si>
  <si>
    <t>DTA</t>
  </si>
  <si>
    <t>勝華選擇權</t>
  </si>
  <si>
    <t>DTF</t>
  </si>
  <si>
    <t>DTO</t>
  </si>
  <si>
    <t>DU1</t>
  </si>
  <si>
    <t>晶電期貨</t>
  </si>
  <si>
    <t>DUA</t>
  </si>
  <si>
    <t>晶電選擇權</t>
  </si>
  <si>
    <t>DUF</t>
  </si>
  <si>
    <t>DUO</t>
  </si>
  <si>
    <t>聯發科(股票期貨/選擇權)</t>
  </si>
  <si>
    <t>DV1</t>
  </si>
  <si>
    <t>聯發科期貨</t>
  </si>
  <si>
    <t>DVA</t>
  </si>
  <si>
    <t>聯發科選擇權</t>
  </si>
  <si>
    <t>DVF</t>
  </si>
  <si>
    <t>DVO</t>
  </si>
  <si>
    <t>潤泰全(股票期貨)</t>
  </si>
  <si>
    <t>DW1</t>
  </si>
  <si>
    <t>潤泰全期貨</t>
  </si>
  <si>
    <t>DWA</t>
  </si>
  <si>
    <t>潤泰全選擇權</t>
  </si>
  <si>
    <t>DWF</t>
  </si>
  <si>
    <t>DWO</t>
  </si>
  <si>
    <t>緯創(股票期貨/選擇權)</t>
  </si>
  <si>
    <t>DX1</t>
  </si>
  <si>
    <t>緯創期貨</t>
  </si>
  <si>
    <t>DXA</t>
  </si>
  <si>
    <t>緯創選擇權</t>
  </si>
  <si>
    <t>DXF</t>
  </si>
  <si>
    <t>DXO</t>
  </si>
  <si>
    <t>亞泥(股票期貨)</t>
  </si>
  <si>
    <t>DY1</t>
  </si>
  <si>
    <t>亞泥期貨</t>
  </si>
  <si>
    <t>DYF</t>
  </si>
  <si>
    <t>大成(股票期貨)</t>
  </si>
  <si>
    <t>DZ1</t>
  </si>
  <si>
    <t>大成期貨</t>
  </si>
  <si>
    <t>DZF</t>
  </si>
  <si>
    <t>E4F</t>
  </si>
  <si>
    <t>臺灣永續期貨</t>
  </si>
  <si>
    <t>EA1</t>
  </si>
  <si>
    <t>佳格期貨</t>
  </si>
  <si>
    <t>EAF</t>
  </si>
  <si>
    <t>EB1</t>
  </si>
  <si>
    <t>聯華期貨</t>
  </si>
  <si>
    <t>EBF</t>
  </si>
  <si>
    <t>EC1</t>
  </si>
  <si>
    <t>台聚期貨</t>
  </si>
  <si>
    <t>ECF</t>
  </si>
  <si>
    <t>ED1</t>
  </si>
  <si>
    <t>亞聚期貨</t>
  </si>
  <si>
    <t>EDF</t>
  </si>
  <si>
    <t>國喬(股票期貨)</t>
  </si>
  <si>
    <t>EE1</t>
  </si>
  <si>
    <t>國喬期貨</t>
  </si>
  <si>
    <t>EEF</t>
  </si>
  <si>
    <t>EF1</t>
  </si>
  <si>
    <t>聯成期貨</t>
  </si>
  <si>
    <t>EFF</t>
  </si>
  <si>
    <t>中石化(股票期貨)</t>
  </si>
  <si>
    <t>EG1</t>
  </si>
  <si>
    <t>中石化期貨</t>
  </si>
  <si>
    <t>EGF</t>
  </si>
  <si>
    <t>東陽(股票期貨)</t>
  </si>
  <si>
    <t>EH1</t>
  </si>
  <si>
    <t>東陽期貨</t>
  </si>
  <si>
    <t>EHF</t>
  </si>
  <si>
    <t>EI1</t>
  </si>
  <si>
    <t>新纖期貨</t>
  </si>
  <si>
    <t>EIF</t>
  </si>
  <si>
    <t>EJF</t>
  </si>
  <si>
    <t>新紡期貨</t>
  </si>
  <si>
    <t>EK</t>
  </si>
  <si>
    <t>南紡(股票期貨)</t>
  </si>
  <si>
    <t>EK1</t>
  </si>
  <si>
    <t>南紡期貨</t>
  </si>
  <si>
    <t>EKF</t>
  </si>
  <si>
    <t>EL1</t>
  </si>
  <si>
    <t>力麗期貨</t>
  </si>
  <si>
    <t>ELF</t>
  </si>
  <si>
    <t>東元(股票期貨)</t>
  </si>
  <si>
    <t>EMF</t>
  </si>
  <si>
    <t>東元期貨</t>
  </si>
  <si>
    <t>ENF</t>
  </si>
  <si>
    <t>永大期貨</t>
  </si>
  <si>
    <t>EOF</t>
  </si>
  <si>
    <t>中砂期貨</t>
  </si>
  <si>
    <t>亞德客-KY(股票期貨)</t>
  </si>
  <si>
    <t>EP1</t>
  </si>
  <si>
    <t>亞德客-KY期貨</t>
  </si>
  <si>
    <t>EPF</t>
  </si>
  <si>
    <t>EQF</t>
  </si>
  <si>
    <t>中電期貨</t>
  </si>
  <si>
    <t>ERF</t>
  </si>
  <si>
    <t>南僑期貨</t>
  </si>
  <si>
    <t>ES1</t>
  </si>
  <si>
    <t>榮化期貨</t>
  </si>
  <si>
    <t>ESF</t>
  </si>
  <si>
    <t>ETC</t>
  </si>
  <si>
    <t>股票選擇權(受益憑證)</t>
  </si>
  <si>
    <t>ETF</t>
  </si>
  <si>
    <t>股票期貨(受益憑證)</t>
  </si>
  <si>
    <t>EU1</t>
  </si>
  <si>
    <t>東聯期貨</t>
  </si>
  <si>
    <t>EUF</t>
  </si>
  <si>
    <t>EV1</t>
  </si>
  <si>
    <t>永光期貨</t>
  </si>
  <si>
    <t>EVF</t>
  </si>
  <si>
    <t>EW1</t>
  </si>
  <si>
    <t>和桐期貨</t>
  </si>
  <si>
    <t>EWF</t>
  </si>
  <si>
    <t>EXF</t>
  </si>
  <si>
    <t>電子期貨</t>
  </si>
  <si>
    <t>中纖(股票期貨)</t>
  </si>
  <si>
    <t>EY1</t>
  </si>
  <si>
    <t>中纖期貨</t>
  </si>
  <si>
    <t>EYF</t>
  </si>
  <si>
    <t>台肥(股票期貨)</t>
  </si>
  <si>
    <t>EZF</t>
  </si>
  <si>
    <t>台肥期貨</t>
  </si>
  <si>
    <t>F1F</t>
  </si>
  <si>
    <t>英國富時100期貨</t>
  </si>
  <si>
    <t>FAF</t>
  </si>
  <si>
    <t>中碳期貨</t>
  </si>
  <si>
    <t>東和鋼鐵(股票期貨)</t>
  </si>
  <si>
    <t>FB1</t>
  </si>
  <si>
    <t>東和鋼鐵期貨</t>
  </si>
  <si>
    <t>FBF</t>
  </si>
  <si>
    <t>FC</t>
  </si>
  <si>
    <t>中鴻(股票期貨)</t>
  </si>
  <si>
    <t>FC1</t>
  </si>
  <si>
    <t>中鴻期貨</t>
  </si>
  <si>
    <t>FCF</t>
  </si>
  <si>
    <t>FDF</t>
  </si>
  <si>
    <t>豐興期貨</t>
  </si>
  <si>
    <t>大成鋼(股票期貨)</t>
  </si>
  <si>
    <t>FE1</t>
  </si>
  <si>
    <t>大成鋼期貨</t>
  </si>
  <si>
    <t>FE2</t>
  </si>
  <si>
    <t>FEF</t>
  </si>
  <si>
    <t>上銀(股票期貨)</t>
  </si>
  <si>
    <t>FF1</t>
  </si>
  <si>
    <t>上銀期貨</t>
  </si>
  <si>
    <t>FFF</t>
  </si>
  <si>
    <t>川湖(股票期貨)</t>
  </si>
  <si>
    <t>FGF</t>
  </si>
  <si>
    <t>川湖期貨</t>
  </si>
  <si>
    <t>FH1</t>
  </si>
  <si>
    <t>南港期貨</t>
  </si>
  <si>
    <t>FHF</t>
  </si>
  <si>
    <t>FI1</t>
  </si>
  <si>
    <t>台橡期貨</t>
  </si>
  <si>
    <t>FIF</t>
  </si>
  <si>
    <t>FJF</t>
  </si>
  <si>
    <t>中橡期貨</t>
  </si>
  <si>
    <t>正新(股票期貨)</t>
  </si>
  <si>
    <t>FK1</t>
  </si>
  <si>
    <t>正新期貨</t>
  </si>
  <si>
    <t>FKF</t>
  </si>
  <si>
    <t>FL1</t>
  </si>
  <si>
    <t>建大期貨</t>
  </si>
  <si>
    <t>FLF</t>
  </si>
  <si>
    <t>FM1</t>
  </si>
  <si>
    <t>厚生期貨</t>
  </si>
  <si>
    <t>FMF</t>
  </si>
  <si>
    <t>裕隆(股票期貨)</t>
  </si>
  <si>
    <t>FN1</t>
  </si>
  <si>
    <t>裕隆期貨</t>
  </si>
  <si>
    <t>FNF</t>
  </si>
  <si>
    <t>FOF</t>
  </si>
  <si>
    <t>中華期貨</t>
  </si>
  <si>
    <t>FP1</t>
  </si>
  <si>
    <t>三陽期貨</t>
  </si>
  <si>
    <t>FPF</t>
  </si>
  <si>
    <t>光寶科(股票期貨)</t>
  </si>
  <si>
    <t>FQ1</t>
  </si>
  <si>
    <t>光寶科期貨</t>
  </si>
  <si>
    <t>FQF</t>
  </si>
  <si>
    <t>台達電(股票期貨)</t>
  </si>
  <si>
    <t>FR1</t>
  </si>
  <si>
    <t>台達電期貨</t>
  </si>
  <si>
    <t>FRF</t>
  </si>
  <si>
    <t>FS</t>
  </si>
  <si>
    <t>金寶(股票期貨)</t>
  </si>
  <si>
    <t>FSF</t>
  </si>
  <si>
    <t>金寶期貨</t>
  </si>
  <si>
    <t>華通(股票期貨)</t>
  </si>
  <si>
    <t>FTF</t>
  </si>
  <si>
    <t>華通期貨</t>
  </si>
  <si>
    <t>FUF</t>
  </si>
  <si>
    <t>神達期貨</t>
  </si>
  <si>
    <t>精英(股票期貨)</t>
  </si>
  <si>
    <t>FV1</t>
  </si>
  <si>
    <t>精英期貨</t>
  </si>
  <si>
    <t>FVF</t>
  </si>
  <si>
    <t>友訊(股票期貨)</t>
  </si>
  <si>
    <t>FW1</t>
  </si>
  <si>
    <t>友訊期貨</t>
  </si>
  <si>
    <t>FWF</t>
  </si>
  <si>
    <t>FXF</t>
  </si>
  <si>
    <t>金融期貨</t>
  </si>
  <si>
    <t>台亞(股票期貨)</t>
  </si>
  <si>
    <t>FY1</t>
  </si>
  <si>
    <t>光磊期貨</t>
  </si>
  <si>
    <t>FYF</t>
  </si>
  <si>
    <t>台亞期貨</t>
  </si>
  <si>
    <t>華邦電(股票期貨)</t>
  </si>
  <si>
    <t>FZ1</t>
  </si>
  <si>
    <t>華邦電期貨</t>
  </si>
  <si>
    <t>FZF</t>
  </si>
  <si>
    <t>G2F</t>
  </si>
  <si>
    <t>富櫃200期貨</t>
  </si>
  <si>
    <t>聯強(股票期貨)</t>
  </si>
  <si>
    <t>GA1</t>
  </si>
  <si>
    <t>聯強期貨</t>
  </si>
  <si>
    <t>GAF</t>
  </si>
  <si>
    <t>GBF</t>
  </si>
  <si>
    <t>十年期公債期貨</t>
  </si>
  <si>
    <t>鴻準(股票期貨)</t>
  </si>
  <si>
    <t>GC1</t>
  </si>
  <si>
    <t>鴻準期貨</t>
  </si>
  <si>
    <t>GCF</t>
  </si>
  <si>
    <t>GDF</t>
  </si>
  <si>
    <t>黃金期貨</t>
  </si>
  <si>
    <t>GE1</t>
  </si>
  <si>
    <t>藍天期貨</t>
  </si>
  <si>
    <t>GEF</t>
  </si>
  <si>
    <t>GFF</t>
  </si>
  <si>
    <t>矽統期貨</t>
  </si>
  <si>
    <t>GG1</t>
  </si>
  <si>
    <t>佳能期貨</t>
  </si>
  <si>
    <t>GGF</t>
  </si>
  <si>
    <t>技嘉(股票期貨)</t>
  </si>
  <si>
    <t>GHF</t>
  </si>
  <si>
    <t>技嘉期貨</t>
  </si>
  <si>
    <t>微星(股票期貨/選擇權)</t>
  </si>
  <si>
    <t>GIA</t>
  </si>
  <si>
    <t>微星選擇權</t>
  </si>
  <si>
    <t>GIF</t>
  </si>
  <si>
    <t>微星期貨</t>
  </si>
  <si>
    <t>GIO</t>
  </si>
  <si>
    <t>瑞昱(股票期貨)</t>
  </si>
  <si>
    <t>GJ1</t>
  </si>
  <si>
    <t>瑞昱期貨</t>
  </si>
  <si>
    <t>GJF</t>
  </si>
  <si>
    <t>GK</t>
  </si>
  <si>
    <t>群光(股票期貨)</t>
  </si>
  <si>
    <t>GK1</t>
  </si>
  <si>
    <t>群光期貨</t>
  </si>
  <si>
    <t>GKF</t>
  </si>
  <si>
    <t>正崴(股票期貨)</t>
  </si>
  <si>
    <t>GL1</t>
  </si>
  <si>
    <t>正崴期貨</t>
  </si>
  <si>
    <t>GLF</t>
  </si>
  <si>
    <t>億光(股票期貨)</t>
  </si>
  <si>
    <t>GMF</t>
  </si>
  <si>
    <t>億光期貨</t>
  </si>
  <si>
    <t>凌陽(股票期貨)</t>
  </si>
  <si>
    <t>GNF</t>
  </si>
  <si>
    <t>凌陽期貨</t>
  </si>
  <si>
    <t>漢唐(股票期貨)</t>
  </si>
  <si>
    <t>GO1</t>
  </si>
  <si>
    <t>漢唐期貨</t>
  </si>
  <si>
    <t>GOF</t>
  </si>
  <si>
    <t>GP1</t>
  </si>
  <si>
    <t>國碩期貨</t>
  </si>
  <si>
    <t>GPF</t>
  </si>
  <si>
    <t>GQF</t>
  </si>
  <si>
    <t>燦坤期貨</t>
  </si>
  <si>
    <t>京元電子(股票期貨)</t>
  </si>
  <si>
    <t>GRF</t>
  </si>
  <si>
    <t>京元電子期貨</t>
  </si>
  <si>
    <t>GSF</t>
  </si>
  <si>
    <t>神腦期貨</t>
  </si>
  <si>
    <t>GTF</t>
  </si>
  <si>
    <t>櫃買期貨</t>
  </si>
  <si>
    <t>GTO</t>
  </si>
  <si>
    <t>櫃買選擇權</t>
  </si>
  <si>
    <t>全新(股票期貨)</t>
  </si>
  <si>
    <t>GU1</t>
  </si>
  <si>
    <t>全新期貨</t>
  </si>
  <si>
    <t>GUF</t>
  </si>
  <si>
    <t>GV</t>
  </si>
  <si>
    <t>飛宏(股票期貨)</t>
  </si>
  <si>
    <t>GVF</t>
  </si>
  <si>
    <t>飛宏期貨</t>
  </si>
  <si>
    <t>義隆(股票期貨)</t>
  </si>
  <si>
    <t>GW1</t>
  </si>
  <si>
    <t>義隆期貨</t>
  </si>
  <si>
    <t>GWF</t>
  </si>
  <si>
    <t>可成(股票期貨/選擇權)</t>
  </si>
  <si>
    <t>GXA</t>
  </si>
  <si>
    <t>可成選擇權</t>
  </si>
  <si>
    <t>GXF</t>
  </si>
  <si>
    <t>可成期貨</t>
  </si>
  <si>
    <t>GXO</t>
  </si>
  <si>
    <t>GY</t>
  </si>
  <si>
    <t>強茂(股票期貨)</t>
  </si>
  <si>
    <t>GYF</t>
  </si>
  <si>
    <t>強茂期貨</t>
  </si>
  <si>
    <t>兆赫(股票期貨)</t>
  </si>
  <si>
    <t>GZF</t>
  </si>
  <si>
    <t>兆赫期貨</t>
  </si>
  <si>
    <t>瑞軒(股票期貨)</t>
  </si>
  <si>
    <t>HA1</t>
  </si>
  <si>
    <t>瑞軒期貨</t>
  </si>
  <si>
    <t>HAF</t>
  </si>
  <si>
    <t>華新科(股票期貨)</t>
  </si>
  <si>
    <t>HB1</t>
  </si>
  <si>
    <t>華新科期貨</t>
  </si>
  <si>
    <t>HBF</t>
  </si>
  <si>
    <t>宏達電(股票期貨/選擇權)</t>
  </si>
  <si>
    <t>HC1</t>
  </si>
  <si>
    <t>宏達電期貨</t>
  </si>
  <si>
    <t>HCA</t>
  </si>
  <si>
    <t>宏達電選擇權</t>
  </si>
  <si>
    <t>HCF</t>
  </si>
  <si>
    <t>HCO</t>
  </si>
  <si>
    <t>HD1</t>
  </si>
  <si>
    <t>東貝期貨</t>
  </si>
  <si>
    <t>HDF</t>
  </si>
  <si>
    <t>HEF</t>
  </si>
  <si>
    <t>國建期貨</t>
  </si>
  <si>
    <t>HF1</t>
  </si>
  <si>
    <t>國產期貨</t>
  </si>
  <si>
    <t>HFF</t>
  </si>
  <si>
    <t>HG1</t>
  </si>
  <si>
    <t>太子期貨</t>
  </si>
  <si>
    <t>HGF</t>
  </si>
  <si>
    <t>中工(股票期貨)</t>
  </si>
  <si>
    <t>HHF</t>
  </si>
  <si>
    <t>中工期貨</t>
  </si>
  <si>
    <t>冠德(股票期貨)</t>
  </si>
  <si>
    <t>HI1</t>
  </si>
  <si>
    <t>冠德期貨</t>
  </si>
  <si>
    <t>HIF</t>
  </si>
  <si>
    <t>HJF</t>
  </si>
  <si>
    <t>宏盛期貨</t>
  </si>
  <si>
    <t>HK1</t>
  </si>
  <si>
    <t>宏普期貨</t>
  </si>
  <si>
    <t>HKF</t>
  </si>
  <si>
    <t>興富發(股票期貨)</t>
  </si>
  <si>
    <t>HL1</t>
  </si>
  <si>
    <t>興富發期貨</t>
  </si>
  <si>
    <t>HLF</t>
  </si>
  <si>
    <t>HMF</t>
  </si>
  <si>
    <t>皇翔期貨</t>
  </si>
  <si>
    <t>HN1</t>
  </si>
  <si>
    <t>日勝生期貨</t>
  </si>
  <si>
    <t>HN2</t>
  </si>
  <si>
    <t>HNF</t>
  </si>
  <si>
    <t>華固(股票期貨)</t>
  </si>
  <si>
    <t>HO1</t>
  </si>
  <si>
    <t>華固期貨</t>
  </si>
  <si>
    <t>HOF</t>
  </si>
  <si>
    <t>HP1</t>
  </si>
  <si>
    <t>益航期貨</t>
  </si>
  <si>
    <t>HPF</t>
  </si>
  <si>
    <t>HQ</t>
  </si>
  <si>
    <t>新興(股票期貨)</t>
  </si>
  <si>
    <t>HQF</t>
  </si>
  <si>
    <t>新興期貨</t>
  </si>
  <si>
    <t>HRF</t>
  </si>
  <si>
    <t>榮運期貨</t>
  </si>
  <si>
    <t>長榮航(股票期貨/選擇權)</t>
  </si>
  <si>
    <t>HS1</t>
  </si>
  <si>
    <t>長榮航期貨</t>
  </si>
  <si>
    <t>HS2</t>
  </si>
  <si>
    <t>HSF</t>
  </si>
  <si>
    <t>HSO</t>
  </si>
  <si>
    <t>長榮航選擇權</t>
  </si>
  <si>
    <t>HTF</t>
  </si>
  <si>
    <t>國賓期貨</t>
  </si>
  <si>
    <t>HU1</t>
  </si>
  <si>
    <t>晶華期貨</t>
  </si>
  <si>
    <t>HUF</t>
  </si>
  <si>
    <t>HVF</t>
  </si>
  <si>
    <t>京城銀期貨</t>
  </si>
  <si>
    <t>HW1</t>
  </si>
  <si>
    <t>台中銀期貨</t>
  </si>
  <si>
    <t>HW2</t>
  </si>
  <si>
    <t>HWF</t>
  </si>
  <si>
    <t>HXF</t>
  </si>
  <si>
    <t>華票期貨</t>
  </si>
  <si>
    <t>HY1</t>
  </si>
  <si>
    <t>中壽期貨</t>
  </si>
  <si>
    <t>HYF</t>
  </si>
  <si>
    <t>HZ1</t>
  </si>
  <si>
    <t>台壽保期貨</t>
  </si>
  <si>
    <t>HZF</t>
  </si>
  <si>
    <t>I5F</t>
  </si>
  <si>
    <t>印度50期貨</t>
  </si>
  <si>
    <t>臺企銀(股票期貨)</t>
  </si>
  <si>
    <t>IA1</t>
  </si>
  <si>
    <t>臺企銀期貨</t>
  </si>
  <si>
    <t>IA2</t>
  </si>
  <si>
    <t>IAF</t>
  </si>
  <si>
    <t>IB1</t>
  </si>
  <si>
    <t>遠東銀期貨</t>
  </si>
  <si>
    <t>IBF</t>
  </si>
  <si>
    <t>IC1</t>
  </si>
  <si>
    <t>大眾銀期貨</t>
  </si>
  <si>
    <t>ICF</t>
  </si>
  <si>
    <t>IDF</t>
  </si>
  <si>
    <t>元富證期貨</t>
  </si>
  <si>
    <t>IE1</t>
  </si>
  <si>
    <t>國票金期貨</t>
  </si>
  <si>
    <t>IEF</t>
  </si>
  <si>
    <t>IF1</t>
  </si>
  <si>
    <t>遠百期貨</t>
  </si>
  <si>
    <t>IFF</t>
  </si>
  <si>
    <t>IG1</t>
  </si>
  <si>
    <t>特力期貨</t>
  </si>
  <si>
    <t>IGF</t>
  </si>
  <si>
    <t>農林(股票期貨)</t>
  </si>
  <si>
    <t>IHF</t>
  </si>
  <si>
    <t>農林期貨</t>
  </si>
  <si>
    <t>晶豪科(股票期貨)</t>
  </si>
  <si>
    <t>IIF</t>
  </si>
  <si>
    <t>晶豪科期貨</t>
  </si>
  <si>
    <t>大立光(股票期貨/選擇權)</t>
  </si>
  <si>
    <t>IJA</t>
  </si>
  <si>
    <t>大立光選擇權</t>
  </si>
  <si>
    <t>IJF</t>
  </si>
  <si>
    <t>大立光期貨</t>
  </si>
  <si>
    <t>IJO</t>
  </si>
  <si>
    <t>IKF</t>
  </si>
  <si>
    <t>華立期貨</t>
  </si>
  <si>
    <t>ILF</t>
  </si>
  <si>
    <t>晟銘電期貨</t>
  </si>
  <si>
    <t>亞光(股票期貨)</t>
  </si>
  <si>
    <t>IMF</t>
  </si>
  <si>
    <t>亞光期貨</t>
  </si>
  <si>
    <t>IN1</t>
  </si>
  <si>
    <t>威強電期貨</t>
  </si>
  <si>
    <t>INF</t>
  </si>
  <si>
    <t>聯詠(股票期貨)</t>
  </si>
  <si>
    <t>IOF</t>
  </si>
  <si>
    <t>聯詠期貨</t>
  </si>
  <si>
    <t>智原(股票期貨)</t>
  </si>
  <si>
    <t>IP1</t>
  </si>
  <si>
    <t>智原期貨</t>
  </si>
  <si>
    <t>IPF</t>
  </si>
  <si>
    <t>文曄(股票期貨)</t>
  </si>
  <si>
    <t>IQ1</t>
  </si>
  <si>
    <t>文曄期貨</t>
  </si>
  <si>
    <t>IQ2</t>
  </si>
  <si>
    <t>IQF</t>
  </si>
  <si>
    <t>欣興(股票期貨/選擇權)</t>
  </si>
  <si>
    <t>IRF</t>
  </si>
  <si>
    <t>欣興期貨</t>
  </si>
  <si>
    <t>IRO</t>
  </si>
  <si>
    <t>欣興選擇權</t>
  </si>
  <si>
    <t>ISF</t>
  </si>
  <si>
    <t>揚智期貨</t>
  </si>
  <si>
    <t>晶技(股票期貨)</t>
  </si>
  <si>
    <t>IT1</t>
  </si>
  <si>
    <t>晶技期貨</t>
  </si>
  <si>
    <t>ITF</t>
  </si>
  <si>
    <t>IU1</t>
  </si>
  <si>
    <t>科風期貨</t>
  </si>
  <si>
    <t>IUF</t>
  </si>
  <si>
    <t>IV1</t>
  </si>
  <si>
    <t>銘異期貨</t>
  </si>
  <si>
    <t>IVF</t>
  </si>
  <si>
    <t>IWF</t>
  </si>
  <si>
    <t>璨圓期貨</t>
  </si>
  <si>
    <t>景碩(股票期貨)</t>
  </si>
  <si>
    <t>IXF</t>
  </si>
  <si>
    <t>景碩期貨</t>
  </si>
  <si>
    <t>新日興(股票期貨)</t>
  </si>
  <si>
    <t>IY1</t>
  </si>
  <si>
    <t>新日興期貨</t>
  </si>
  <si>
    <t>IYF</t>
  </si>
  <si>
    <t>明泰(股票期貨)</t>
  </si>
  <si>
    <t>IZ1</t>
  </si>
  <si>
    <t>明泰期貨</t>
  </si>
  <si>
    <t>IZF</t>
  </si>
  <si>
    <t>JA1</t>
  </si>
  <si>
    <t>新世紀期貨</t>
  </si>
  <si>
    <t>JA2</t>
  </si>
  <si>
    <t>JAF</t>
  </si>
  <si>
    <t>創意(股票期貨)</t>
  </si>
  <si>
    <t>JBF</t>
  </si>
  <si>
    <t>創意期貨</t>
  </si>
  <si>
    <t>JCF</t>
  </si>
  <si>
    <t>揚明光期貨</t>
  </si>
  <si>
    <t>JD1</t>
  </si>
  <si>
    <t>昱晶期貨</t>
  </si>
  <si>
    <t>JDF</t>
  </si>
  <si>
    <t>JE1</t>
  </si>
  <si>
    <t>綠能期貨</t>
  </si>
  <si>
    <t>JE2</t>
  </si>
  <si>
    <t>JEF</t>
  </si>
  <si>
    <t>嘉澤(股票期貨)</t>
  </si>
  <si>
    <t>JF1</t>
  </si>
  <si>
    <t>嘉澤期貨</t>
  </si>
  <si>
    <t>JFF</t>
  </si>
  <si>
    <t>JG1</t>
  </si>
  <si>
    <t>昇陽光電期貨</t>
  </si>
  <si>
    <t>JGF</t>
  </si>
  <si>
    <t>JH1</t>
  </si>
  <si>
    <t>穎台期貨</t>
  </si>
  <si>
    <t>JHF</t>
  </si>
  <si>
    <t>JI1</t>
  </si>
  <si>
    <t>聯合再生期貨</t>
  </si>
  <si>
    <t>JI2</t>
  </si>
  <si>
    <t>JIF</t>
  </si>
  <si>
    <t>JJ1</t>
  </si>
  <si>
    <t>尚志期貨</t>
  </si>
  <si>
    <t>JJF</t>
  </si>
  <si>
    <t>JK1</t>
  </si>
  <si>
    <t>艾笛森期貨</t>
  </si>
  <si>
    <t>JKF</t>
  </si>
  <si>
    <t>JL1</t>
  </si>
  <si>
    <t>洋華期貨</t>
  </si>
  <si>
    <t>JLF</t>
  </si>
  <si>
    <t>健策(股票期貨)</t>
  </si>
  <si>
    <t>JM1</t>
  </si>
  <si>
    <t>健策期貨</t>
  </si>
  <si>
    <t>JM2</t>
  </si>
  <si>
    <t>JMF</t>
  </si>
  <si>
    <t>TPK-KY(股票期貨)</t>
  </si>
  <si>
    <t>JN1</t>
  </si>
  <si>
    <t>F-TPK期貨</t>
  </si>
  <si>
    <t>JNF</t>
  </si>
  <si>
    <t>TPK-KY期貨</t>
  </si>
  <si>
    <t>JO1</t>
  </si>
  <si>
    <t>F-晨星期貨</t>
  </si>
  <si>
    <t>JOF</t>
  </si>
  <si>
    <t>大聯大(股票期貨)</t>
  </si>
  <si>
    <t>JP1</t>
  </si>
  <si>
    <t>大聯大期貨</t>
  </si>
  <si>
    <t>JPF</t>
  </si>
  <si>
    <t>JQF</t>
  </si>
  <si>
    <t>合勤控期貨</t>
  </si>
  <si>
    <t>JRF</t>
  </si>
  <si>
    <t>信昌化期貨</t>
  </si>
  <si>
    <t>和碩(股票期貨)</t>
  </si>
  <si>
    <t>JSF</t>
  </si>
  <si>
    <t>和碩期貨</t>
  </si>
  <si>
    <t>JT1</t>
  </si>
  <si>
    <t>訊連期貨</t>
  </si>
  <si>
    <t>JTF</t>
  </si>
  <si>
    <t>JUF</t>
  </si>
  <si>
    <t>遠雄期貨</t>
  </si>
  <si>
    <t>JV1</t>
  </si>
  <si>
    <t>鄉林期貨</t>
  </si>
  <si>
    <t>JVF</t>
  </si>
  <si>
    <t>長虹(股票期貨)</t>
  </si>
  <si>
    <t>JW1</t>
  </si>
  <si>
    <t>長虹期貨</t>
  </si>
  <si>
    <t>JWF</t>
  </si>
  <si>
    <t>JX1</t>
  </si>
  <si>
    <t>群益證期貨</t>
  </si>
  <si>
    <t>JXF</t>
  </si>
  <si>
    <t>JYF</t>
  </si>
  <si>
    <t>輔祥期貨</t>
  </si>
  <si>
    <t>嘉聯益(股票期貨)</t>
  </si>
  <si>
    <t>JZ1</t>
  </si>
  <si>
    <t>嘉聯益期貨</t>
  </si>
  <si>
    <t>JZF</t>
  </si>
  <si>
    <t>瑞儀(股票期貨)</t>
  </si>
  <si>
    <t>KA1</t>
  </si>
  <si>
    <t>瑞儀期貨</t>
  </si>
  <si>
    <t>KAF</t>
  </si>
  <si>
    <t>聯茂(股票期貨)</t>
  </si>
  <si>
    <t>KB1</t>
  </si>
  <si>
    <t>聯茂期貨</t>
  </si>
  <si>
    <t>KBF</t>
  </si>
  <si>
    <t>力成(股票期貨)</t>
  </si>
  <si>
    <t>KC1</t>
  </si>
  <si>
    <t>力成期貨</t>
  </si>
  <si>
    <t>KCF</t>
  </si>
  <si>
    <t>同欣電(股票期貨)</t>
  </si>
  <si>
    <t>KD1</t>
  </si>
  <si>
    <t>同欣電期貨</t>
  </si>
  <si>
    <t>KDF</t>
  </si>
  <si>
    <t>台表科(股票期貨)</t>
  </si>
  <si>
    <t>KE1</t>
  </si>
  <si>
    <t>台表科期貨</t>
  </si>
  <si>
    <t>KEF</t>
  </si>
  <si>
    <t>康舒(股票期貨)</t>
  </si>
  <si>
    <t>KF1</t>
  </si>
  <si>
    <t>康舒期貨</t>
  </si>
  <si>
    <t>KFF</t>
  </si>
  <si>
    <t>啟碁(股票期貨)</t>
  </si>
  <si>
    <t>KG1</t>
  </si>
  <si>
    <t>啟碁期貨</t>
  </si>
  <si>
    <t>KGF</t>
  </si>
  <si>
    <t>KHF</t>
  </si>
  <si>
    <t>立錡期貨</t>
  </si>
  <si>
    <t>台虹(股票期貨)</t>
  </si>
  <si>
    <t>KI1</t>
  </si>
  <si>
    <t>台虹期貨</t>
  </si>
  <si>
    <t>KIF</t>
  </si>
  <si>
    <t>KJF</t>
  </si>
  <si>
    <t>華寶期貨</t>
  </si>
  <si>
    <t>達方(股票期貨)</t>
  </si>
  <si>
    <t>KKF</t>
  </si>
  <si>
    <t>達方期貨</t>
  </si>
  <si>
    <t>寶成(股票期貨)</t>
  </si>
  <si>
    <t>KLF</t>
  </si>
  <si>
    <t>寶成期貨</t>
  </si>
  <si>
    <t>KMF</t>
  </si>
  <si>
    <t>大華期貨</t>
  </si>
  <si>
    <t>KNF</t>
  </si>
  <si>
    <t>成霖期貨</t>
  </si>
  <si>
    <t>宏全(股票期貨)</t>
  </si>
  <si>
    <t>KO1</t>
  </si>
  <si>
    <t>宏全期貨</t>
  </si>
  <si>
    <t>KOF</t>
  </si>
  <si>
    <t>潤泰新(股票期貨)</t>
  </si>
  <si>
    <t>KP1</t>
  </si>
  <si>
    <t>潤泰新期貨</t>
  </si>
  <si>
    <t>KPF</t>
  </si>
  <si>
    <t>KQ1</t>
  </si>
  <si>
    <t>嘉泥期貨</t>
  </si>
  <si>
    <t>KQF</t>
  </si>
  <si>
    <t>KRF</t>
  </si>
  <si>
    <t>味全期貨</t>
  </si>
  <si>
    <t>聚陽(股票期貨)</t>
  </si>
  <si>
    <t>KS1</t>
  </si>
  <si>
    <t>聚陽期貨</t>
  </si>
  <si>
    <t>KSF</t>
  </si>
  <si>
    <t>KT1</t>
  </si>
  <si>
    <t>喬山期貨</t>
  </si>
  <si>
    <t>KTF</t>
  </si>
  <si>
    <t>台玻(股票期貨)</t>
  </si>
  <si>
    <t>KU1</t>
  </si>
  <si>
    <t>台玻期貨</t>
  </si>
  <si>
    <t>KUF</t>
  </si>
  <si>
    <t>KV1</t>
  </si>
  <si>
    <t>台船期貨</t>
  </si>
  <si>
    <t>KVF</t>
  </si>
  <si>
    <t>廣宇(股票期貨)</t>
  </si>
  <si>
    <t>KW1</t>
  </si>
  <si>
    <t>廣宇期貨</t>
  </si>
  <si>
    <t>KWF</t>
  </si>
  <si>
    <t>KXF</t>
  </si>
  <si>
    <t>震旦行期貨</t>
  </si>
  <si>
    <t>KYF</t>
  </si>
  <si>
    <t>普安期貨</t>
  </si>
  <si>
    <t>KZF</t>
  </si>
  <si>
    <t>大榮期貨</t>
  </si>
  <si>
    <t>LA1</t>
  </si>
  <si>
    <t>三商行期貨</t>
  </si>
  <si>
    <t>LAF</t>
  </si>
  <si>
    <t>健鼎(股票期貨)</t>
  </si>
  <si>
    <t>LBF</t>
  </si>
  <si>
    <t>健鼎期貨</t>
  </si>
  <si>
    <t>台灣大(股票期貨)</t>
  </si>
  <si>
    <t>LC1</t>
  </si>
  <si>
    <t>台灣大期貨</t>
  </si>
  <si>
    <t>LCF</t>
  </si>
  <si>
    <t>LDF</t>
  </si>
  <si>
    <t>建漢期貨</t>
  </si>
  <si>
    <t>玉晶光(股票期貨)</t>
  </si>
  <si>
    <t>LE1</t>
  </si>
  <si>
    <t>玉晶光期貨</t>
  </si>
  <si>
    <t>LEF</t>
  </si>
  <si>
    <t>LFF</t>
  </si>
  <si>
    <t>欣陸期貨</t>
  </si>
  <si>
    <t>LG1</t>
  </si>
  <si>
    <t>永信期貨</t>
  </si>
  <si>
    <t>LGF</t>
  </si>
  <si>
    <t>LHF</t>
  </si>
  <si>
    <t>松翰期貨</t>
  </si>
  <si>
    <t>台郡(股票期貨)</t>
  </si>
  <si>
    <t>LI1</t>
  </si>
  <si>
    <t>台郡期貨</t>
  </si>
  <si>
    <t>LIF</t>
  </si>
  <si>
    <t>LJF</t>
  </si>
  <si>
    <t>陞泰期貨</t>
  </si>
  <si>
    <t>LKF</t>
  </si>
  <si>
    <t>致新期貨</t>
  </si>
  <si>
    <t>LLF</t>
  </si>
  <si>
    <t>統一實期貨</t>
  </si>
  <si>
    <t>美利達(股票期貨)</t>
  </si>
  <si>
    <t>LM1</t>
  </si>
  <si>
    <t>美利達期貨</t>
  </si>
  <si>
    <t>LMF</t>
  </si>
  <si>
    <t>LNF</t>
  </si>
  <si>
    <t>裕融期貨</t>
  </si>
  <si>
    <t>合庫金(股票期貨/選擇權)</t>
  </si>
  <si>
    <t>LO1</t>
  </si>
  <si>
    <t>合庫金期貨</t>
  </si>
  <si>
    <t>LO2</t>
  </si>
  <si>
    <t>LOA</t>
  </si>
  <si>
    <t>合庫金選擇權</t>
  </si>
  <si>
    <t>LOF</t>
  </si>
  <si>
    <t>LOO</t>
  </si>
  <si>
    <t>LP1</t>
  </si>
  <si>
    <t>神隆期貨</t>
  </si>
  <si>
    <t>LPF</t>
  </si>
  <si>
    <t>英業達(股票期貨)</t>
  </si>
  <si>
    <t>LQF</t>
  </si>
  <si>
    <t>英業達期貨</t>
  </si>
  <si>
    <t>開發金(股票期貨)</t>
  </si>
  <si>
    <t>LRF</t>
  </si>
  <si>
    <t>開發金期貨</t>
  </si>
  <si>
    <t>LSF</t>
  </si>
  <si>
    <t>正達期貨</t>
  </si>
  <si>
    <t>遠傳(股票期貨)</t>
  </si>
  <si>
    <t>LTF</t>
  </si>
  <si>
    <t>遠傳期貨</t>
  </si>
  <si>
    <t>臻鼎-KY(股票期貨)</t>
  </si>
  <si>
    <t>LU1</t>
  </si>
  <si>
    <t>臻鼎-KY期貨</t>
  </si>
  <si>
    <t>LUF</t>
  </si>
  <si>
    <t>中租-KY(股票期貨)</t>
  </si>
  <si>
    <t>LV1</t>
  </si>
  <si>
    <t>中租-KY期貨</t>
  </si>
  <si>
    <t>LVF</t>
  </si>
  <si>
    <t>儒鴻(股票期貨)</t>
  </si>
  <si>
    <t>LW1</t>
  </si>
  <si>
    <t>儒鴻期貨</t>
  </si>
  <si>
    <t>LWF</t>
  </si>
  <si>
    <t>國巨(股票期貨)</t>
  </si>
  <si>
    <t>LX1</t>
  </si>
  <si>
    <t>國巨期貨</t>
  </si>
  <si>
    <t>LXF</t>
  </si>
  <si>
    <t>南電(股票期貨)</t>
  </si>
  <si>
    <t>LYF</t>
  </si>
  <si>
    <t>南電期貨</t>
  </si>
  <si>
    <t>LZF</t>
  </si>
  <si>
    <t>可寧衛期貨</t>
  </si>
  <si>
    <t>葡萄王(股票期貨)</t>
  </si>
  <si>
    <t>MAF</t>
  </si>
  <si>
    <t>葡萄王期貨</t>
  </si>
  <si>
    <t>敬鵬(股票期貨)</t>
  </si>
  <si>
    <t>MBF</t>
  </si>
  <si>
    <t>敬鵬期貨</t>
  </si>
  <si>
    <t>MCF</t>
  </si>
  <si>
    <t>隆達期貨</t>
  </si>
  <si>
    <t>MD1</t>
  </si>
  <si>
    <t>瑞智期貨</t>
  </si>
  <si>
    <t>MDF</t>
  </si>
  <si>
    <t>ME1</t>
  </si>
  <si>
    <t>誠美材期貨</t>
  </si>
  <si>
    <t>MEF</t>
  </si>
  <si>
    <t>MF1</t>
  </si>
  <si>
    <t>力鵬期貨</t>
  </si>
  <si>
    <t>MFF</t>
  </si>
  <si>
    <t>MGF</t>
  </si>
  <si>
    <t>年興期貨</t>
  </si>
  <si>
    <t>MH1</t>
  </si>
  <si>
    <t>勤美期貨</t>
  </si>
  <si>
    <t>MHF</t>
  </si>
  <si>
    <t>MIF</t>
  </si>
  <si>
    <t>橋椿期貨</t>
  </si>
  <si>
    <t>致茂(股票期貨)</t>
  </si>
  <si>
    <t>MJF</t>
  </si>
  <si>
    <t>致茂期貨</t>
  </si>
  <si>
    <t>美律(股票期貨)</t>
  </si>
  <si>
    <t>MK1</t>
  </si>
  <si>
    <t>美律期貨</t>
  </si>
  <si>
    <t>MKF</t>
  </si>
  <si>
    <t>ML1</t>
  </si>
  <si>
    <t>晶睿期貨</t>
  </si>
  <si>
    <t>MLF</t>
  </si>
  <si>
    <t>MM1</t>
  </si>
  <si>
    <t>承業醫期貨</t>
  </si>
  <si>
    <t>MMF</t>
  </si>
  <si>
    <t>MN1</t>
  </si>
  <si>
    <t>三星期貨</t>
  </si>
  <si>
    <t>MNF</t>
  </si>
  <si>
    <t>MO1</t>
  </si>
  <si>
    <t>飛捷期貨</t>
  </si>
  <si>
    <t>MOF</t>
  </si>
  <si>
    <t>MPF</t>
  </si>
  <si>
    <t>精誠期貨</t>
  </si>
  <si>
    <t>矽格(股票期貨)</t>
  </si>
  <si>
    <t>MQ1</t>
  </si>
  <si>
    <t>矽格期貨</t>
  </si>
  <si>
    <t>MQF</t>
  </si>
  <si>
    <t>MRF</t>
  </si>
  <si>
    <t>南六期貨</t>
  </si>
  <si>
    <t>MSF</t>
  </si>
  <si>
    <t>摩臺期</t>
  </si>
  <si>
    <t>MSO</t>
  </si>
  <si>
    <t>摩臺選</t>
  </si>
  <si>
    <t>MTX</t>
  </si>
  <si>
    <t>小型臺指期貨</t>
  </si>
  <si>
    <t>MUF</t>
  </si>
  <si>
    <t>帝寶期貨</t>
  </si>
  <si>
    <t>百和(股票期貨)</t>
  </si>
  <si>
    <t>MVF</t>
  </si>
  <si>
    <t>百和期貨</t>
  </si>
  <si>
    <t>MWF</t>
  </si>
  <si>
    <t>亞太電期貨</t>
  </si>
  <si>
    <t>MX1</t>
  </si>
  <si>
    <t>小型臺指W1</t>
  </si>
  <si>
    <t>MX2</t>
  </si>
  <si>
    <t>小型臺指W2</t>
  </si>
  <si>
    <t>MX4</t>
  </si>
  <si>
    <t>小型臺指W4</t>
  </si>
  <si>
    <t>MX5</t>
  </si>
  <si>
    <t>小型臺指W5</t>
  </si>
  <si>
    <t>MXF</t>
  </si>
  <si>
    <t>小型臺指</t>
  </si>
  <si>
    <t>精華(股票期貨)</t>
  </si>
  <si>
    <t>MYF</t>
  </si>
  <si>
    <t>精華期貨</t>
  </si>
  <si>
    <t>MZF</t>
  </si>
  <si>
    <t>光洋科期貨</t>
  </si>
  <si>
    <t>穩懋(股票期貨)</t>
  </si>
  <si>
    <t>NA1</t>
  </si>
  <si>
    <t>穩懋期貨</t>
  </si>
  <si>
    <t>NAF</t>
  </si>
  <si>
    <t>璟德(股票期貨)</t>
  </si>
  <si>
    <t>NBF</t>
  </si>
  <si>
    <t>璟德期貨</t>
  </si>
  <si>
    <t>NCF</t>
  </si>
  <si>
    <t>順達期貨</t>
  </si>
  <si>
    <t>威剛(股票期貨)</t>
  </si>
  <si>
    <t>ND1</t>
  </si>
  <si>
    <t>威剛期貨</t>
  </si>
  <si>
    <t>NDF</t>
  </si>
  <si>
    <t>欣銓(股票期貨)</t>
  </si>
  <si>
    <t>NE1</t>
  </si>
  <si>
    <t>欣銓期貨</t>
  </si>
  <si>
    <t>NEF</t>
  </si>
  <si>
    <t>NFF</t>
  </si>
  <si>
    <t>漢微科期貨</t>
  </si>
  <si>
    <t>碩禾(股票期貨)</t>
  </si>
  <si>
    <t>NG1</t>
  </si>
  <si>
    <t>碩禾期貨</t>
  </si>
  <si>
    <t>NGF</t>
  </si>
  <si>
    <t>NH1</t>
  </si>
  <si>
    <t>東洋期貨</t>
  </si>
  <si>
    <t>NHF</t>
  </si>
  <si>
    <t>晟德(股票期貨)</t>
  </si>
  <si>
    <t>NI1</t>
  </si>
  <si>
    <t>晟德期貨</t>
  </si>
  <si>
    <t>NIF</t>
  </si>
  <si>
    <t>榮剛(股票期貨)</t>
  </si>
  <si>
    <t>NJ1</t>
  </si>
  <si>
    <t>榮剛期貨</t>
  </si>
  <si>
    <t>NJF</t>
  </si>
  <si>
    <t>NK1</t>
  </si>
  <si>
    <t>桂盟期貨</t>
  </si>
  <si>
    <t>NKF</t>
  </si>
  <si>
    <t>世界(股票期貨)</t>
  </si>
  <si>
    <t>NLF</t>
  </si>
  <si>
    <t>世界期貨</t>
  </si>
  <si>
    <t>中光電(股票期貨)</t>
  </si>
  <si>
    <t>NM1</t>
  </si>
  <si>
    <t>中光電期貨</t>
  </si>
  <si>
    <t>NMF</t>
  </si>
  <si>
    <t>NNF</t>
  </si>
  <si>
    <t>智冠期貨</t>
  </si>
  <si>
    <t>中美晶(股票期貨)</t>
  </si>
  <si>
    <t>NOF</t>
  </si>
  <si>
    <t>中美晶期貨</t>
  </si>
  <si>
    <t>NPF</t>
  </si>
  <si>
    <t>力麒期貨</t>
  </si>
  <si>
    <t>新普(股票期貨)</t>
  </si>
  <si>
    <t>NQ1</t>
  </si>
  <si>
    <t>新普期貨</t>
  </si>
  <si>
    <t>NQF</t>
  </si>
  <si>
    <t>NR1</t>
  </si>
  <si>
    <t>耕興期貨</t>
  </si>
  <si>
    <t>NRF</t>
  </si>
  <si>
    <t>頎邦(股票期貨)</t>
  </si>
  <si>
    <t>NSF</t>
  </si>
  <si>
    <t>頎邦期貨</t>
  </si>
  <si>
    <t>NT1</t>
  </si>
  <si>
    <t>茂迪期貨</t>
  </si>
  <si>
    <t>NTF</t>
  </si>
  <si>
    <t>網家(股票期貨)</t>
  </si>
  <si>
    <t>NU1</t>
  </si>
  <si>
    <t>網家期貨</t>
  </si>
  <si>
    <t>NUF</t>
  </si>
  <si>
    <t>元太(股票期貨)</t>
  </si>
  <si>
    <t>NVF</t>
  </si>
  <si>
    <t>元太期貨</t>
  </si>
  <si>
    <t>群聯(股票期貨)</t>
  </si>
  <si>
    <t>NWF</t>
  </si>
  <si>
    <t>群聯期貨</t>
  </si>
  <si>
    <t>NX1</t>
  </si>
  <si>
    <t>森鉅期貨</t>
  </si>
  <si>
    <t>NXF</t>
  </si>
  <si>
    <t>元大台灣50ETF(股票期貨/選擇權)</t>
  </si>
  <si>
    <t>NYA</t>
  </si>
  <si>
    <t>元大台灣50ETF選擇權</t>
  </si>
  <si>
    <t>NYF</t>
  </si>
  <si>
    <t>元大台灣50ETF期貨</t>
  </si>
  <si>
    <t>NYO</t>
  </si>
  <si>
    <t>NZF</t>
  </si>
  <si>
    <t>元大寶滬深ETF期貨</t>
  </si>
  <si>
    <t>NZO</t>
  </si>
  <si>
    <t>元大寶滬深ETF選擇權</t>
  </si>
  <si>
    <t>富邦上証ETF(股票期貨/選擇權)</t>
  </si>
  <si>
    <t>OAF</t>
  </si>
  <si>
    <t>富邦上証ETF期貨</t>
  </si>
  <si>
    <t>OAO</t>
  </si>
  <si>
    <t>富邦上証ETF選擇權</t>
  </si>
  <si>
    <t>元大上證50ETF(股票期貨/選擇權)</t>
  </si>
  <si>
    <t>OBF</t>
  </si>
  <si>
    <t>元大上證50ETF期貨</t>
  </si>
  <si>
    <t>OBO</t>
  </si>
  <si>
    <t>元大上證50ETF選擇權</t>
  </si>
  <si>
    <t>OCF</t>
  </si>
  <si>
    <t>復華滬深ETF期貨</t>
  </si>
  <si>
    <t>OCO</t>
  </si>
  <si>
    <t>FH滬深ETF選擇權</t>
  </si>
  <si>
    <t>為升(股票期貨)</t>
  </si>
  <si>
    <t>OD1</t>
  </si>
  <si>
    <t>為升期貨</t>
  </si>
  <si>
    <t>ODF</t>
  </si>
  <si>
    <t>彩晶(股票期貨)</t>
  </si>
  <si>
    <t>OEF</t>
  </si>
  <si>
    <t>彩晶期貨</t>
  </si>
  <si>
    <t>OFF</t>
  </si>
  <si>
    <t>東隆興期貨</t>
  </si>
  <si>
    <t>OGF</t>
  </si>
  <si>
    <t>先豐期貨</t>
  </si>
  <si>
    <t>胡連(股票期貨)</t>
  </si>
  <si>
    <t>OH1</t>
  </si>
  <si>
    <t>胡連期貨</t>
  </si>
  <si>
    <t>OHF</t>
  </si>
  <si>
    <t>OI1</t>
  </si>
  <si>
    <t>國統期貨</t>
  </si>
  <si>
    <t>OIF</t>
  </si>
  <si>
    <t>國泰中國A50ETF(股票期貨/選擇權)</t>
  </si>
  <si>
    <t>OJF</t>
  </si>
  <si>
    <t>國泰中國A50ETF期貨</t>
  </si>
  <si>
    <t>OJO</t>
  </si>
  <si>
    <t>國泰中國A50ETF選擇權</t>
  </si>
  <si>
    <t>富邦深100ETF(股票期貨/選擇權)</t>
  </si>
  <si>
    <t>OKF</t>
  </si>
  <si>
    <t>富邦深100ETF期貨</t>
  </si>
  <si>
    <t>OKO</t>
  </si>
  <si>
    <t>富邦深100ETF選擇權</t>
  </si>
  <si>
    <t>大立光(股票期貨)</t>
  </si>
  <si>
    <t>OLF</t>
  </si>
  <si>
    <t>小型大立光期貨</t>
  </si>
  <si>
    <t>OMF</t>
  </si>
  <si>
    <t>小型精華期貨</t>
  </si>
  <si>
    <t>ONF</t>
  </si>
  <si>
    <t>小型碩禾期貨</t>
  </si>
  <si>
    <t>群益深証中小ETF(股票期貨/選擇權)</t>
  </si>
  <si>
    <t>OOF</t>
  </si>
  <si>
    <t>群益深証中小ETF期貨</t>
  </si>
  <si>
    <t>OOO</t>
  </si>
  <si>
    <t>群益深証中小ETF選擇權</t>
  </si>
  <si>
    <t>智邦(股票期貨)</t>
  </si>
  <si>
    <t>OPF</t>
  </si>
  <si>
    <t>智邦期貨</t>
  </si>
  <si>
    <t>樺漢(股票期貨)</t>
  </si>
  <si>
    <t>OQ1</t>
  </si>
  <si>
    <t>樺漢期貨</t>
  </si>
  <si>
    <t>OQF</t>
  </si>
  <si>
    <t>和大(股票期貨)</t>
  </si>
  <si>
    <t>OR1</t>
  </si>
  <si>
    <t>和大期貨</t>
  </si>
  <si>
    <t>ORF</t>
  </si>
  <si>
    <t>榮成(股票期貨)</t>
  </si>
  <si>
    <t>OS1</t>
  </si>
  <si>
    <t>榮成期貨</t>
  </si>
  <si>
    <t>OSF</t>
  </si>
  <si>
    <t>聯亞(股票期貨)</t>
  </si>
  <si>
    <t>OTF</t>
  </si>
  <si>
    <t>聯亞期貨</t>
  </si>
  <si>
    <t>同致(股票期貨)</t>
  </si>
  <si>
    <t>OUF</t>
  </si>
  <si>
    <t>同致期貨</t>
  </si>
  <si>
    <t>台燿(股票期貨)</t>
  </si>
  <si>
    <t>OVF</t>
  </si>
  <si>
    <t>台燿期貨</t>
  </si>
  <si>
    <t>環球晶(股票期貨)</t>
  </si>
  <si>
    <t>OWF</t>
  </si>
  <si>
    <t>環球晶期貨</t>
  </si>
  <si>
    <t>精測(股票期貨)</t>
  </si>
  <si>
    <t>OXF</t>
  </si>
  <si>
    <t>精測期貨</t>
  </si>
  <si>
    <t>OYF</t>
  </si>
  <si>
    <t>小型精測期貨</t>
  </si>
  <si>
    <t>日月光投控(股票期貨/選擇權)</t>
  </si>
  <si>
    <t>OZ1</t>
  </si>
  <si>
    <t>日月光投控期貨</t>
  </si>
  <si>
    <t>OZA</t>
  </si>
  <si>
    <t>日月光投控選擇權</t>
  </si>
  <si>
    <t>OZF</t>
  </si>
  <si>
    <t>OZO</t>
  </si>
  <si>
    <t>原相(股票期貨)</t>
  </si>
  <si>
    <t>PAF</t>
  </si>
  <si>
    <t>原相期貨</t>
  </si>
  <si>
    <t>PBF</t>
  </si>
  <si>
    <t>小型環球晶期貨</t>
  </si>
  <si>
    <t>智擎(股票期貨)</t>
  </si>
  <si>
    <t>PCF</t>
  </si>
  <si>
    <t>智擎期貨</t>
  </si>
  <si>
    <t>泰博(股票期貨)</t>
  </si>
  <si>
    <t>PDF</t>
  </si>
  <si>
    <t>泰博期貨</t>
  </si>
  <si>
    <t>台半(股票期貨)</t>
  </si>
  <si>
    <t>PEF</t>
  </si>
  <si>
    <t>台半期貨</t>
  </si>
  <si>
    <t>元大高股息ETF(股票期貨)</t>
  </si>
  <si>
    <t>PFF</t>
  </si>
  <si>
    <t>元大高股息ETF期貨</t>
  </si>
  <si>
    <t>台灣高鐵(股票期貨)</t>
  </si>
  <si>
    <t>PGF</t>
  </si>
  <si>
    <t>台灣高鐵期貨</t>
  </si>
  <si>
    <t>祥碩(股票期貨)</t>
  </si>
  <si>
    <t>PHF</t>
  </si>
  <si>
    <t>祥碩期貨</t>
  </si>
  <si>
    <t>力旺(股票期貨)</t>
  </si>
  <si>
    <t>PIF</t>
  </si>
  <si>
    <t>力旺期貨</t>
  </si>
  <si>
    <t>台光電(股票期貨)</t>
  </si>
  <si>
    <t>PJF</t>
  </si>
  <si>
    <t>台光電期貨</t>
  </si>
  <si>
    <t>信昌電(股票期貨)</t>
  </si>
  <si>
    <t>PKF</t>
  </si>
  <si>
    <t>信昌電期貨</t>
  </si>
  <si>
    <t>合晶(股票期貨)</t>
  </si>
  <si>
    <t>PL1</t>
  </si>
  <si>
    <t>合晶期貨</t>
  </si>
  <si>
    <t>PLF</t>
  </si>
  <si>
    <t>大江(股票期貨)</t>
  </si>
  <si>
    <t>PM1</t>
  </si>
  <si>
    <t>大江期貨</t>
  </si>
  <si>
    <t>PMF</t>
  </si>
  <si>
    <t>PNF</t>
  </si>
  <si>
    <t>小型祥碩期貨</t>
  </si>
  <si>
    <t>POF</t>
  </si>
  <si>
    <t>神盾期貨</t>
  </si>
  <si>
    <t>宣德(股票期貨)</t>
  </si>
  <si>
    <t>PPF</t>
  </si>
  <si>
    <t>宣德期貨</t>
  </si>
  <si>
    <t>金居(股票期貨)</t>
  </si>
  <si>
    <t>PQF</t>
  </si>
  <si>
    <t>金居期貨</t>
  </si>
  <si>
    <t>宏捷科(股票期貨)</t>
  </si>
  <si>
    <t>PRF</t>
  </si>
  <si>
    <t>宏捷科期貨</t>
  </si>
  <si>
    <t>神達(股票期貨)</t>
  </si>
  <si>
    <t>PS1</t>
  </si>
  <si>
    <t>PSF</t>
  </si>
  <si>
    <t>雙鴻(股票期貨)</t>
  </si>
  <si>
    <t>PTF</t>
  </si>
  <si>
    <t>雙鴻期貨</t>
  </si>
  <si>
    <t>聯發科(股票期貨)</t>
  </si>
  <si>
    <t>PUF</t>
  </si>
  <si>
    <t>小型聯發科期貨</t>
  </si>
  <si>
    <t>緯穎(股票期貨)</t>
  </si>
  <si>
    <t>PVF</t>
  </si>
  <si>
    <t>緯穎期貨</t>
  </si>
  <si>
    <t>PWF</t>
  </si>
  <si>
    <t>小型緯穎期貨</t>
  </si>
  <si>
    <t>鈊象(股票期貨)</t>
  </si>
  <si>
    <t>PX1</t>
  </si>
  <si>
    <t>鈊象期貨</t>
  </si>
  <si>
    <t>PXF</t>
  </si>
  <si>
    <t>PY1</t>
  </si>
  <si>
    <t>小型鈊象期貨</t>
  </si>
  <si>
    <t>PYF</t>
  </si>
  <si>
    <t>信驊(股票期貨)</t>
  </si>
  <si>
    <t>PZ1</t>
  </si>
  <si>
    <t>信驊期貨</t>
  </si>
  <si>
    <t>PZF</t>
  </si>
  <si>
    <t>QA1</t>
  </si>
  <si>
    <t>小型信驊期貨</t>
  </si>
  <si>
    <t>QAF</t>
  </si>
  <si>
    <t>富采(股票期貨/選擇權)</t>
  </si>
  <si>
    <t>QB1</t>
  </si>
  <si>
    <t>富采期貨</t>
  </si>
  <si>
    <t>QB2</t>
  </si>
  <si>
    <t>QBF</t>
  </si>
  <si>
    <t>QBO</t>
  </si>
  <si>
    <t>富采選擇權</t>
  </si>
  <si>
    <t>裕民(股票期貨)</t>
  </si>
  <si>
    <t>QCF</t>
  </si>
  <si>
    <t>裕民期貨</t>
  </si>
  <si>
    <t>台勝科(股票期貨)</t>
  </si>
  <si>
    <t>QDF</t>
  </si>
  <si>
    <t>台勝科期貨</t>
  </si>
  <si>
    <t>QE1</t>
  </si>
  <si>
    <t>小型國巨期貨</t>
  </si>
  <si>
    <t>QEF</t>
  </si>
  <si>
    <t>台積電(股票期貨)</t>
  </si>
  <si>
    <t>QFF</t>
  </si>
  <si>
    <t>小型台積電期貨</t>
  </si>
  <si>
    <t>QGF</t>
  </si>
  <si>
    <t>小型瑞昱期貨</t>
  </si>
  <si>
    <t>QHF</t>
  </si>
  <si>
    <t>小型聯詠期貨</t>
  </si>
  <si>
    <t>QIF</t>
  </si>
  <si>
    <t>小型穩懋期貨</t>
  </si>
  <si>
    <t>QJF</t>
  </si>
  <si>
    <t>小型玉晶光期貨</t>
  </si>
  <si>
    <t>永豐餘(股票期貨)</t>
  </si>
  <si>
    <t>QKF</t>
  </si>
  <si>
    <t>永豐餘期貨</t>
  </si>
  <si>
    <t>精材(股票期貨)</t>
  </si>
  <si>
    <t>QLF</t>
  </si>
  <si>
    <t>精材期貨</t>
  </si>
  <si>
    <t>QM1</t>
  </si>
  <si>
    <t>小型上銀期貨</t>
  </si>
  <si>
    <t>QMF</t>
  </si>
  <si>
    <t>QNF</t>
  </si>
  <si>
    <t>小型群聯期貨</t>
  </si>
  <si>
    <t>長興(股票期貨)</t>
  </si>
  <si>
    <t>QO1</t>
  </si>
  <si>
    <t>長興期貨</t>
  </si>
  <si>
    <t>QOF</t>
  </si>
  <si>
    <t>正隆(股票期貨)</t>
  </si>
  <si>
    <t>QPF</t>
  </si>
  <si>
    <t>正隆期貨</t>
  </si>
  <si>
    <t>僑威(股票期貨)</t>
  </si>
  <si>
    <t>QQF</t>
  </si>
  <si>
    <t>僑威期貨</t>
  </si>
  <si>
    <t>華碩(股票期貨)</t>
  </si>
  <si>
    <t>QRF</t>
  </si>
  <si>
    <t>小型華碩期貨</t>
  </si>
  <si>
    <t>QSF</t>
  </si>
  <si>
    <t>小型南電期貨</t>
  </si>
  <si>
    <t>QT</t>
  </si>
  <si>
    <t>超豐(股票期貨)</t>
  </si>
  <si>
    <t>QTF</t>
  </si>
  <si>
    <t>超豐期貨</t>
  </si>
  <si>
    <t>QU</t>
  </si>
  <si>
    <t>南茂(股票期貨)</t>
  </si>
  <si>
    <t>QUF</t>
  </si>
  <si>
    <t>南茂期貨</t>
  </si>
  <si>
    <t>QV</t>
  </si>
  <si>
    <t>光罩(股票期貨)</t>
  </si>
  <si>
    <t>QVF</t>
  </si>
  <si>
    <t>光罩期貨</t>
  </si>
  <si>
    <t>QW</t>
  </si>
  <si>
    <t>威盛(股票期貨)</t>
  </si>
  <si>
    <t>QWF</t>
  </si>
  <si>
    <t>威盛期貨</t>
  </si>
  <si>
    <t>QX</t>
  </si>
  <si>
    <t>萬海(股票期貨)</t>
  </si>
  <si>
    <t>QX1</t>
  </si>
  <si>
    <t>萬海期貨</t>
  </si>
  <si>
    <t>QXF</t>
  </si>
  <si>
    <t>QY</t>
  </si>
  <si>
    <t>高端疫苗(股票期貨)</t>
  </si>
  <si>
    <t>QY1</t>
  </si>
  <si>
    <t>高端疫苗期貨</t>
  </si>
  <si>
    <t>QYF</t>
  </si>
  <si>
    <t>QZ</t>
  </si>
  <si>
    <t>力積電(股票期貨)</t>
  </si>
  <si>
    <t>QZF</t>
  </si>
  <si>
    <t>力積電期貨</t>
  </si>
  <si>
    <t>RA</t>
  </si>
  <si>
    <t>奇鋐(股票期貨)</t>
  </si>
  <si>
    <t>RA1</t>
  </si>
  <si>
    <t>奇鋐期貨</t>
  </si>
  <si>
    <t>RAF</t>
  </si>
  <si>
    <t>RB</t>
  </si>
  <si>
    <t>中磊(股票期貨)</t>
  </si>
  <si>
    <t>RBF</t>
  </si>
  <si>
    <t>中磊期貨</t>
  </si>
  <si>
    <t>RC</t>
  </si>
  <si>
    <t>漢翔(股票期貨)</t>
  </si>
  <si>
    <t>RCF</t>
  </si>
  <si>
    <t>漢翔期貨</t>
  </si>
  <si>
    <t>RD</t>
  </si>
  <si>
    <t>中天(股票期貨)</t>
  </si>
  <si>
    <t>RD1</t>
  </si>
  <si>
    <t>中天期貨</t>
  </si>
  <si>
    <t>RDF</t>
  </si>
  <si>
    <t>RE</t>
  </si>
  <si>
    <t>新唐(股票期貨)</t>
  </si>
  <si>
    <t>REF</t>
  </si>
  <si>
    <t>新唐期貨</t>
  </si>
  <si>
    <t>RF</t>
  </si>
  <si>
    <t>RF1</t>
  </si>
  <si>
    <t>小型嘉澤期貨</t>
  </si>
  <si>
    <t>RFF</t>
  </si>
  <si>
    <t>RG</t>
  </si>
  <si>
    <t>RGF</t>
  </si>
  <si>
    <t>小型健策期貨</t>
  </si>
  <si>
    <t>RHF</t>
  </si>
  <si>
    <t>美元兌人民幣期貨</t>
  </si>
  <si>
    <t>RHO</t>
  </si>
  <si>
    <t>美元兌人民幣選擇權</t>
  </si>
  <si>
    <t>RI</t>
  </si>
  <si>
    <t>國泰永續高股息ETF(股票期貨)</t>
  </si>
  <si>
    <t>RIF</t>
  </si>
  <si>
    <t>國泰永續高股息ETF期貨</t>
  </si>
  <si>
    <t>RJ</t>
  </si>
  <si>
    <t>大亞(股票期貨)</t>
  </si>
  <si>
    <t>RJ1</t>
  </si>
  <si>
    <t>大亞期貨</t>
  </si>
  <si>
    <t>RJF</t>
  </si>
  <si>
    <t>RK</t>
  </si>
  <si>
    <t>金像電(股票期貨)</t>
  </si>
  <si>
    <t>RKF</t>
  </si>
  <si>
    <t>金像電期貨</t>
  </si>
  <si>
    <t>RL</t>
  </si>
  <si>
    <t>元晶(股票期貨)</t>
  </si>
  <si>
    <t>RL1</t>
  </si>
  <si>
    <t>元晶期貨</t>
  </si>
  <si>
    <t>RLF</t>
  </si>
  <si>
    <t>RM</t>
  </si>
  <si>
    <t>富邦媒(股票期貨)</t>
  </si>
  <si>
    <t>RM1</t>
  </si>
  <si>
    <t>富邦媒期貨</t>
  </si>
  <si>
    <t>RMF</t>
  </si>
  <si>
    <t>RN</t>
  </si>
  <si>
    <t>合一(股票期貨)</t>
  </si>
  <si>
    <t>RN1</t>
  </si>
  <si>
    <t>合一期貨</t>
  </si>
  <si>
    <t>RNF</t>
  </si>
  <si>
    <t>RO</t>
  </si>
  <si>
    <t>立端(股票期貨)</t>
  </si>
  <si>
    <t>RO1</t>
  </si>
  <si>
    <t>立端期貨</t>
  </si>
  <si>
    <t>ROF</t>
  </si>
  <si>
    <t>RP</t>
  </si>
  <si>
    <t>寶雅(股票期貨)</t>
  </si>
  <si>
    <t>RP1</t>
  </si>
  <si>
    <t>寶雅期貨</t>
  </si>
  <si>
    <t>RPF</t>
  </si>
  <si>
    <t>RQ</t>
  </si>
  <si>
    <t>RQ1</t>
  </si>
  <si>
    <t>小型富邦媒期貨</t>
  </si>
  <si>
    <t>RQF</t>
  </si>
  <si>
    <t>RR</t>
  </si>
  <si>
    <t>RR1</t>
  </si>
  <si>
    <t>小型寶雅期貨</t>
  </si>
  <si>
    <t>RRF</t>
  </si>
  <si>
    <t>RS</t>
  </si>
  <si>
    <t>RSF</t>
  </si>
  <si>
    <t>小型力旺期貨</t>
  </si>
  <si>
    <t>RTF</t>
  </si>
  <si>
    <t>小型美元兌人民幣期貨</t>
  </si>
  <si>
    <t>RTO</t>
  </si>
  <si>
    <t>小型美元兌人民幣選擇權</t>
  </si>
  <si>
    <t>RU</t>
  </si>
  <si>
    <t>世紀鋼(股票期貨)</t>
  </si>
  <si>
    <t>RUF</t>
  </si>
  <si>
    <t>世紀鋼期貨</t>
  </si>
  <si>
    <t>RV</t>
  </si>
  <si>
    <t>RVF</t>
  </si>
  <si>
    <t>小型台達電期貨</t>
  </si>
  <si>
    <t>RW</t>
  </si>
  <si>
    <t>RWF</t>
  </si>
  <si>
    <t>小型創意期貨</t>
  </si>
  <si>
    <t>RX</t>
  </si>
  <si>
    <t>富邦越南ETF(股票期貨)</t>
  </si>
  <si>
    <t>RXF</t>
  </si>
  <si>
    <t>富邦越南ETF期貨</t>
  </si>
  <si>
    <t>RY</t>
  </si>
  <si>
    <t>群益台ESG低碳50ETF(股票期貨)</t>
  </si>
  <si>
    <t>RYF</t>
  </si>
  <si>
    <t>群益台ESG低碳50ETF期貨</t>
  </si>
  <si>
    <t>RZ</t>
  </si>
  <si>
    <t>元大美債20年ETF(股票期貨)</t>
  </si>
  <si>
    <t>RZF</t>
  </si>
  <si>
    <t>元大美債20年ETF期貨</t>
  </si>
  <si>
    <t>SA</t>
  </si>
  <si>
    <t>美時(股票期貨)</t>
  </si>
  <si>
    <t>SAF</t>
  </si>
  <si>
    <t>美時期貨</t>
  </si>
  <si>
    <t>SB</t>
  </si>
  <si>
    <t>華紙(股票期貨)</t>
  </si>
  <si>
    <t>SBF</t>
  </si>
  <si>
    <t>華紙期貨</t>
  </si>
  <si>
    <t>SC</t>
  </si>
  <si>
    <t>SCF</t>
  </si>
  <si>
    <t>小型聚陽期貨</t>
  </si>
  <si>
    <t>SD</t>
  </si>
  <si>
    <t>中興電(股票期貨)</t>
  </si>
  <si>
    <t>SDF</t>
  </si>
  <si>
    <t>中興電期貨</t>
  </si>
  <si>
    <t>SE</t>
  </si>
  <si>
    <t>SEF</t>
  </si>
  <si>
    <t>小型智邦期貨</t>
  </si>
  <si>
    <t>SF</t>
  </si>
  <si>
    <t>SFF</t>
  </si>
  <si>
    <t>小型台光電期貨</t>
  </si>
  <si>
    <t>SG</t>
  </si>
  <si>
    <t>國泰智能電動車ETF(股票期貨)</t>
  </si>
  <si>
    <t>SGF</t>
  </si>
  <si>
    <t>國泰智能電動車ETF期貨</t>
  </si>
  <si>
    <t>SHF</t>
  </si>
  <si>
    <t>航運期貨</t>
  </si>
  <si>
    <t>SI</t>
  </si>
  <si>
    <t>元大美債1-3ETF(股票期貨)</t>
  </si>
  <si>
    <t>SIF</t>
  </si>
  <si>
    <t>元大美債1-3ETF期貨</t>
  </si>
  <si>
    <t>SJ</t>
  </si>
  <si>
    <t>神基(股票期貨)</t>
  </si>
  <si>
    <t>SJF</t>
  </si>
  <si>
    <t>神基期貨</t>
  </si>
  <si>
    <t>SK</t>
  </si>
  <si>
    <t>至上(股票期貨)</t>
  </si>
  <si>
    <t>SKF</t>
  </si>
  <si>
    <t>至上期貨</t>
  </si>
  <si>
    <t>SL</t>
  </si>
  <si>
    <t>SLF</t>
  </si>
  <si>
    <t>小型技嘉期貨</t>
  </si>
  <si>
    <t>SM</t>
  </si>
  <si>
    <t>群益台灣精選高息ETF(股票期貨)</t>
  </si>
  <si>
    <t>SMF</t>
  </si>
  <si>
    <t>群益台灣精選高息ETF期貨</t>
  </si>
  <si>
    <t>SN</t>
  </si>
  <si>
    <t>復華台灣科技優息ETF(股票期貨)</t>
  </si>
  <si>
    <t>SNF</t>
  </si>
  <si>
    <t>復華台灣科技優息ETF期貨</t>
  </si>
  <si>
    <t>SOF</t>
  </si>
  <si>
    <t>半導體30期貨</t>
  </si>
  <si>
    <t>SPF</t>
  </si>
  <si>
    <t>美國標普500期貨</t>
  </si>
  <si>
    <t>SQ</t>
  </si>
  <si>
    <t>中信高評級公司債ETF(股票期貨)</t>
  </si>
  <si>
    <t>SQF</t>
  </si>
  <si>
    <t>中信高評級公司債ETF期貨</t>
  </si>
  <si>
    <t>STC</t>
  </si>
  <si>
    <t>股票選擇權</t>
  </si>
  <si>
    <t>STF</t>
  </si>
  <si>
    <t>股票期貨</t>
  </si>
  <si>
    <t>STO</t>
  </si>
  <si>
    <t>SXF</t>
  </si>
  <si>
    <t>美國費城半導體期貨</t>
  </si>
  <si>
    <t>T5F</t>
  </si>
  <si>
    <t>臺灣50期貨</t>
  </si>
  <si>
    <t>TE</t>
  </si>
  <si>
    <t>TEO</t>
  </si>
  <si>
    <t>電子選擇權</t>
  </si>
  <si>
    <t>TF</t>
  </si>
  <si>
    <t>TFO</t>
  </si>
  <si>
    <t>金融選擇權</t>
  </si>
  <si>
    <t>TGF</t>
  </si>
  <si>
    <t>臺幣黃金期貨</t>
  </si>
  <si>
    <t>TGO</t>
  </si>
  <si>
    <t>黃金選擇權</t>
  </si>
  <si>
    <t>TJF</t>
  </si>
  <si>
    <t>東證期貨</t>
  </si>
  <si>
    <t>臺股期貨</t>
  </si>
  <si>
    <t>TX1</t>
  </si>
  <si>
    <t>臺指選擇權W1</t>
  </si>
  <si>
    <t>TX2</t>
  </si>
  <si>
    <t>臺指選擇權W2</t>
  </si>
  <si>
    <t>TX4</t>
  </si>
  <si>
    <t>臺指選擇權W4</t>
  </si>
  <si>
    <t>TX5</t>
  </si>
  <si>
    <t>臺指選擇權W5</t>
  </si>
  <si>
    <t>TXF</t>
  </si>
  <si>
    <t>TXO</t>
  </si>
  <si>
    <t>臺指選擇權</t>
  </si>
  <si>
    <t>UDF</t>
  </si>
  <si>
    <t>美國道瓊期貨</t>
  </si>
  <si>
    <t>UNF</t>
  </si>
  <si>
    <t>美國那斯達克100期貨</t>
  </si>
  <si>
    <t>XAF</t>
  </si>
  <si>
    <t>澳幣兌美元期貨</t>
  </si>
  <si>
    <t>XBF</t>
  </si>
  <si>
    <t>英鎊兌美元期貨</t>
  </si>
  <si>
    <t>XEF</t>
  </si>
  <si>
    <t>歐元兌美元期貨</t>
  </si>
  <si>
    <t>XIF</t>
  </si>
  <si>
    <t>非金電期貨</t>
  </si>
  <si>
    <t>XIO</t>
  </si>
  <si>
    <t>非金電選擇權</t>
  </si>
  <si>
    <t>XJF</t>
  </si>
  <si>
    <t>美元兌日圓期貨</t>
  </si>
  <si>
    <t>ZEF</t>
  </si>
  <si>
    <t>小型電子期貨</t>
  </si>
  <si>
    <t>ZFF</t>
  </si>
  <si>
    <t>小型金融期貨</t>
  </si>
  <si>
    <t>登錄表</t>
    <phoneticPr fontId="3" type="noConversion"/>
  </si>
  <si>
    <t>商品名稱</t>
    <phoneticPr fontId="3" type="noConversion"/>
  </si>
  <si>
    <t>行號(數)</t>
    <phoneticPr fontId="3" type="noConversion"/>
  </si>
  <si>
    <t>行號(字母)</t>
    <phoneticPr fontId="3" type="noConversion"/>
  </si>
  <si>
    <t>錄</t>
  </si>
  <si>
    <t>創意</t>
    <phoneticPr fontId="3" type="noConversion"/>
  </si>
  <si>
    <t>記錄至_列:</t>
    <phoneticPr fontId="3" type="noConversion"/>
  </si>
  <si>
    <t>大單起跳</t>
    <phoneticPr fontId="3" type="noConversion"/>
  </si>
  <si>
    <t>日期</t>
    <phoneticPr fontId="3" type="noConversion"/>
  </si>
  <si>
    <t>時間</t>
    <phoneticPr fontId="3" type="noConversion"/>
  </si>
  <si>
    <t>單量</t>
    <phoneticPr fontId="3" type="noConversion"/>
  </si>
  <si>
    <t>賣價</t>
    <phoneticPr fontId="3" type="noConversion"/>
  </si>
  <si>
    <t>委賣量</t>
    <phoneticPr fontId="3" type="noConversion"/>
  </si>
  <si>
    <t>累計量</t>
    <phoneticPr fontId="3" type="noConversion"/>
  </si>
  <si>
    <t>大單起跳</t>
  </si>
  <si>
    <t>記錄至_列:</t>
  </si>
  <si>
    <t>時間</t>
  </si>
  <si>
    <t>累計量</t>
  </si>
  <si>
    <t>幅度</t>
  </si>
  <si>
    <t>台積</t>
    <phoneticPr fontId="3" type="noConversion"/>
  </si>
  <si>
    <t>公司名稱=</t>
    <phoneticPr fontId="3" type="noConversion"/>
  </si>
  <si>
    <t>目前價格=</t>
    <phoneticPr fontId="3" type="noConversion"/>
  </si>
  <si>
    <t>平均價格=</t>
    <phoneticPr fontId="3" type="noConversion"/>
  </si>
  <si>
    <t>期貨委買=</t>
    <phoneticPr fontId="3" type="noConversion"/>
  </si>
  <si>
    <t>期貨委賣=</t>
    <phoneticPr fontId="3" type="noConversion"/>
  </si>
  <si>
    <t>報價時間</t>
    <phoneticPr fontId="3" type="noConversion"/>
  </si>
  <si>
    <t>下次列</t>
    <phoneticPr fontId="3" type="noConversion"/>
  </si>
  <si>
    <t>下次時間</t>
    <phoneticPr fontId="3" type="noConversion"/>
  </si>
  <si>
    <t>已報完比例</t>
    <phoneticPr fontId="3" type="noConversion"/>
  </si>
  <si>
    <t>聯發科</t>
    <phoneticPr fontId="3" type="noConversion"/>
  </si>
  <si>
    <t>大立光</t>
    <phoneticPr fontId="3" type="noConversion"/>
  </si>
  <si>
    <t>台亞</t>
  </si>
  <si>
    <t>FY</t>
    <phoneticPr fontId="3" type="noConversion"/>
  </si>
  <si>
    <t>未鎖</t>
    <phoneticPr fontId="3" type="noConversion"/>
  </si>
  <si>
    <t>台積電</t>
    <phoneticPr fontId="3" type="noConversion"/>
  </si>
  <si>
    <t>公司名稱=</t>
    <phoneticPr fontId="3" type="noConversion"/>
  </si>
  <si>
    <t>台積電</t>
  </si>
  <si>
    <t>重設記錄列</t>
    <phoneticPr fontId="3" type="noConversion"/>
  </si>
  <si>
    <t>e</t>
    <phoneticPr fontId="3" type="noConversion"/>
  </si>
  <si>
    <t>s</t>
    <phoneticPr fontId="3" type="noConversion"/>
  </si>
  <si>
    <t>m</t>
    <phoneticPr fontId="3" type="noConversion"/>
  </si>
  <si>
    <t>C台積電</t>
    <phoneticPr fontId="3" type="noConversion"/>
  </si>
  <si>
    <t>C創意</t>
    <phoneticPr fontId="3" type="noConversion"/>
  </si>
  <si>
    <r>
      <rPr>
        <sz val="9"/>
        <color theme="5" tint="-0.249977111117893"/>
        <rFont val="Microsoft JhengHei"/>
        <family val="2"/>
        <charset val="136"/>
      </rPr>
      <t>指期</t>
    </r>
    <r>
      <rPr>
        <sz val="9"/>
        <color theme="5" tint="-0.249977111117893"/>
        <rFont val="Calibri"/>
        <family val="2"/>
      </rPr>
      <t xml:space="preserve"> -</t>
    </r>
    <r>
      <rPr>
        <sz val="9"/>
        <color theme="5" tint="-0.249977111117893"/>
        <rFont val="新細明體"/>
        <family val="2"/>
        <charset val="136"/>
      </rPr>
      <t>加權</t>
    </r>
    <r>
      <rPr>
        <sz val="9"/>
        <color theme="5" tint="-0.249977111117893"/>
        <rFont val="Calibri"/>
        <family val="2"/>
      </rPr>
      <t xml:space="preserve"> =</t>
    </r>
    <phoneticPr fontId="3" type="noConversion"/>
  </si>
  <si>
    <t>H=</t>
    <phoneticPr fontId="3" type="noConversion"/>
  </si>
  <si>
    <t>L=</t>
    <phoneticPr fontId="3" type="noConversion"/>
  </si>
  <si>
    <t>C聯發科</t>
    <phoneticPr fontId="3" type="noConversion"/>
  </si>
  <si>
    <t>結算過程</t>
    <phoneticPr fontId="3" type="noConversion"/>
  </si>
  <si>
    <t>時間=</t>
    <phoneticPr fontId="3" type="noConversion"/>
  </si>
  <si>
    <t>完成度=</t>
    <phoneticPr fontId="3" type="noConversion"/>
  </si>
  <si>
    <t>B</t>
    <phoneticPr fontId="3" type="noConversion"/>
  </si>
  <si>
    <t>S</t>
    <phoneticPr fontId="3" type="noConversion"/>
  </si>
  <si>
    <t>1475*1</t>
    <phoneticPr fontId="3" type="noConversion"/>
  </si>
  <si>
    <t>1460*1</t>
    <phoneticPr fontId="3" type="noConversion"/>
  </si>
  <si>
    <t>off</t>
    <phoneticPr fontId="3" type="noConversion"/>
  </si>
  <si>
    <t>創意期貨202602/202603</t>
  </si>
  <si>
    <t>創意期貨202602/202603</t>
    <phoneticPr fontId="3" type="noConversion"/>
  </si>
  <si>
    <t>取消全螢幕</t>
    <phoneticPr fontId="3" type="noConversion"/>
  </si>
  <si>
    <t>目前價格=</t>
    <phoneticPr fontId="3" type="noConversion"/>
  </si>
  <si>
    <t>期貨委買=</t>
    <phoneticPr fontId="3" type="noConversion"/>
  </si>
  <si>
    <t>期貨委賣=</t>
    <phoneticPr fontId="3" type="noConversion"/>
  </si>
  <si>
    <t>平均價格=</t>
    <phoneticPr fontId="3" type="noConversion"/>
  </si>
  <si>
    <t>小型創意期貨近一(2603)</t>
  </si>
  <si>
    <t>C小型創意期貨近一(2603)</t>
  </si>
  <si>
    <t>台指期近一(2603)</t>
  </si>
  <si>
    <t>小型電子近一(2603)</t>
  </si>
  <si>
    <t>聯發科期貨近一(2603)</t>
  </si>
  <si>
    <t>小型台積電期貨近一(2603)</t>
  </si>
  <si>
    <t>台積電期貨近一(2603)</t>
  </si>
  <si>
    <t>小型聯發科期貨近一(2603)</t>
  </si>
  <si>
    <t>創意期貨近一(2603)</t>
  </si>
  <si>
    <t>小型創意期貨近二(2604)</t>
  </si>
  <si>
    <t>03月06日</t>
    <phoneticPr fontId="3" type="noConversion"/>
  </si>
  <si>
    <t>小型創意期貨近一(2603)  134457= 5張(口)</t>
    <phoneticPr fontId="3" type="noConversion"/>
  </si>
</sst>
</file>

<file path=xl/styles.xml><?xml version="1.0" encoding="utf-8"?>
<styleSheet xmlns="http://schemas.openxmlformats.org/spreadsheetml/2006/main">
  <numFmts count="4">
    <numFmt numFmtId="176" formatCode="0.0%"/>
    <numFmt numFmtId="177" formatCode="0_ "/>
    <numFmt numFmtId="178" formatCode="0.0_ "/>
    <numFmt numFmtId="179" formatCode="0.00_ "/>
  </numFmts>
  <fonts count="58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0"/>
      <name val="新細明體"/>
      <family val="2"/>
      <charset val="136"/>
      <scheme val="minor"/>
    </font>
    <font>
      <sz val="12"/>
      <color theme="9" tint="-0.249977111117893"/>
      <name val="新細明體"/>
      <family val="1"/>
      <charset val="136"/>
      <scheme val="minor"/>
    </font>
    <font>
      <sz val="12"/>
      <color theme="6" tint="0.39997558519241921"/>
      <name val="新細明體"/>
      <family val="2"/>
      <charset val="136"/>
      <scheme val="minor"/>
    </font>
    <font>
      <sz val="12"/>
      <color theme="6" tint="0.3999755851924192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1"/>
      <color theme="0"/>
      <name val="新細明體"/>
      <family val="2"/>
      <charset val="136"/>
      <scheme val="minor"/>
    </font>
    <font>
      <sz val="11"/>
      <color theme="0"/>
      <name val="新細明體"/>
      <family val="1"/>
      <charset val="136"/>
      <scheme val="minor"/>
    </font>
    <font>
      <sz val="11"/>
      <color theme="0" tint="-0.34998626667073579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theme="5" tint="-0.249977111117893"/>
      <name val="新細明體"/>
      <family val="2"/>
      <charset val="136"/>
      <scheme val="minor"/>
    </font>
    <font>
      <sz val="12"/>
      <color theme="6" tint="-0.249977111117893"/>
      <name val="新細明體"/>
      <family val="2"/>
      <charset val="136"/>
      <scheme val="minor"/>
    </font>
    <font>
      <sz val="12"/>
      <color theme="3" tint="0.39997558519241921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0"/>
      <color rgb="FF000000"/>
      <name val="新細明體"/>
      <family val="1"/>
      <charset val="136"/>
      <scheme val="minor"/>
    </font>
    <font>
      <u/>
      <sz val="12"/>
      <color rgb="FF0000FF"/>
      <name val="新細明體"/>
      <family val="1"/>
      <charset val="136"/>
    </font>
    <font>
      <sz val="12"/>
      <color rgb="FFFFFFFF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708B39"/>
      <name val="新細明體"/>
      <family val="2"/>
      <charset val="136"/>
      <scheme val="minor"/>
    </font>
    <font>
      <sz val="12"/>
      <color rgb="FF708B39"/>
      <name val="新細明體"/>
      <family val="1"/>
      <charset val="136"/>
      <scheme val="minor"/>
    </font>
    <font>
      <sz val="12"/>
      <color rgb="FFFFFF00"/>
      <name val="新細明體"/>
      <family val="2"/>
      <charset val="136"/>
      <scheme val="minor"/>
    </font>
    <font>
      <sz val="12"/>
      <color rgb="FF7896C8"/>
      <name val="新細明體"/>
      <family val="2"/>
      <charset val="136"/>
      <scheme val="minor"/>
    </font>
    <font>
      <sz val="11"/>
      <color rgb="FF00FF0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sz val="8"/>
      <color theme="1"/>
      <name val="新細明體"/>
      <family val="2"/>
      <charset val="136"/>
      <scheme val="minor"/>
    </font>
    <font>
      <sz val="12"/>
      <color theme="4" tint="-0.249977111117893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sz val="12"/>
      <color rgb="FF9C6500"/>
      <name val="新細明體"/>
      <family val="2"/>
      <charset val="136"/>
      <scheme val="minor"/>
    </font>
    <font>
      <sz val="9"/>
      <color theme="5" tint="-0.249977111117893"/>
      <name val="新細明體"/>
      <family val="2"/>
      <charset val="136"/>
    </font>
    <font>
      <sz val="9"/>
      <color theme="5" tint="-0.249977111117893"/>
      <name val="Microsoft JhengHei"/>
      <family val="2"/>
      <charset val="136"/>
    </font>
    <font>
      <sz val="9"/>
      <color theme="5" tint="-0.249977111117893"/>
      <name val="Calibri"/>
      <family val="2"/>
    </font>
    <font>
      <sz val="12"/>
      <color theme="3" tint="-0.249977111117893"/>
      <name val="新細明體"/>
      <family val="2"/>
      <charset val="136"/>
      <scheme val="minor"/>
    </font>
    <font>
      <sz val="12"/>
      <color theme="9" tint="-0.499984740745262"/>
      <name val="新細明體"/>
      <family val="2"/>
      <charset val="136"/>
      <scheme val="minor"/>
    </font>
    <font>
      <b/>
      <sz val="12"/>
      <color theme="9" tint="-0.499984740745262"/>
      <name val="新細明體"/>
      <family val="1"/>
      <charset val="136"/>
      <scheme val="minor"/>
    </font>
    <font>
      <sz val="12"/>
      <color theme="7" tint="-0.249977111117893"/>
      <name val="新細明體"/>
      <family val="2"/>
      <charset val="136"/>
      <scheme val="minor"/>
    </font>
    <font>
      <b/>
      <sz val="12"/>
      <color theme="7" tint="-0.249977111117893"/>
      <name val="新細明體"/>
      <family val="1"/>
      <charset val="136"/>
      <scheme val="minor"/>
    </font>
    <font>
      <sz val="12"/>
      <color theme="5"/>
      <name val="新細明體"/>
      <family val="2"/>
      <charset val="136"/>
      <scheme val="minor"/>
    </font>
    <font>
      <b/>
      <sz val="12"/>
      <color theme="5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7896C8"/>
      <name val="新細明體"/>
      <family val="1"/>
      <charset val="136"/>
      <scheme val="minor"/>
    </font>
    <font>
      <sz val="11"/>
      <color rgb="FF00FA00"/>
      <name val="新細明體"/>
      <family val="2"/>
      <charset val="136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4E8F3"/>
        <bgColor indexed="64"/>
      </patternFill>
    </fill>
    <fill>
      <patternFill patternType="solid">
        <fgColor rgb="FFFFFF97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ashed">
        <color theme="0"/>
      </right>
      <top/>
      <bottom style="dotted">
        <color auto="1"/>
      </bottom>
      <diagonal/>
    </border>
    <border>
      <left/>
      <right/>
      <top/>
      <bottom style="dashed">
        <color auto="1"/>
      </bottom>
      <diagonal/>
    </border>
    <border>
      <left style="double">
        <color theme="5" tint="-0.24994659260841701"/>
      </left>
      <right/>
      <top/>
      <bottom style="hair">
        <color theme="5" tint="-0.24994659260841701"/>
      </bottom>
      <diagonal/>
    </border>
    <border>
      <left/>
      <right style="double">
        <color theme="5" tint="-0.24994659260841701"/>
      </right>
      <top/>
      <bottom style="hair">
        <color theme="5" tint="-0.24994659260841701"/>
      </bottom>
      <diagonal/>
    </border>
    <border>
      <left/>
      <right/>
      <top/>
      <bottom style="dotted">
        <color theme="5" tint="-0.24994659260841701"/>
      </bottom>
      <diagonal/>
    </border>
    <border>
      <left/>
      <right style="double">
        <color theme="5" tint="-0.24994659260841701"/>
      </right>
      <top/>
      <bottom style="dotted">
        <color theme="5" tint="-0.24994659260841701"/>
      </bottom>
      <diagonal/>
    </border>
    <border>
      <left/>
      <right style="dotted">
        <color auto="1"/>
      </right>
      <top/>
      <bottom style="dotted">
        <color theme="5" tint="-0.2499465926084170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uble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double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hair">
        <color theme="7" tint="0.59996337778862885"/>
      </right>
      <top style="double">
        <color auto="1"/>
      </top>
      <bottom style="dashed">
        <color auto="1"/>
      </bottom>
      <diagonal/>
    </border>
    <border>
      <left style="hair">
        <color theme="7" tint="0.59996337778862885"/>
      </left>
      <right style="hair">
        <color theme="7" tint="0.59996337778862885"/>
      </right>
      <top style="double">
        <color auto="1"/>
      </top>
      <bottom style="dashed">
        <color auto="1"/>
      </bottom>
      <diagonal/>
    </border>
    <border>
      <left style="hair">
        <color theme="7" tint="0.59996337778862885"/>
      </left>
      <right style="double">
        <color auto="1"/>
      </right>
      <top style="double">
        <color auto="1"/>
      </top>
      <bottom style="dashed">
        <color auto="1"/>
      </bottom>
      <diagonal/>
    </border>
    <border>
      <left style="double">
        <color auto="1"/>
      </left>
      <right style="hair">
        <color theme="7" tint="0.59996337778862885"/>
      </right>
      <top style="dashed">
        <color auto="1"/>
      </top>
      <bottom style="dashed">
        <color auto="1"/>
      </bottom>
      <diagonal/>
    </border>
    <border>
      <left style="hair">
        <color theme="7" tint="0.59996337778862885"/>
      </left>
      <right style="hair">
        <color theme="7" tint="0.59996337778862885"/>
      </right>
      <top style="dashed">
        <color auto="1"/>
      </top>
      <bottom style="dashed">
        <color auto="1"/>
      </bottom>
      <diagonal/>
    </border>
    <border>
      <left style="hair">
        <color theme="7" tint="0.59996337778862885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hair">
        <color theme="7" tint="0.59996337778862885"/>
      </right>
      <top style="dashed">
        <color auto="1"/>
      </top>
      <bottom style="double">
        <color auto="1"/>
      </bottom>
      <diagonal/>
    </border>
    <border>
      <left style="hair">
        <color theme="7" tint="0.59996337778862885"/>
      </left>
      <right style="hair">
        <color theme="7" tint="0.59996337778862885"/>
      </right>
      <top style="dashed">
        <color auto="1"/>
      </top>
      <bottom style="double">
        <color auto="1"/>
      </bottom>
      <diagonal/>
    </border>
    <border>
      <left style="hair">
        <color theme="7" tint="0.59996337778862885"/>
      </left>
      <right style="double">
        <color auto="1"/>
      </right>
      <top style="dashed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theme="5" tint="-0.24994659260841701"/>
      </left>
      <right/>
      <top style="hair">
        <color theme="5" tint="-0.24994659260841701"/>
      </top>
      <bottom/>
      <diagonal/>
    </border>
    <border>
      <left/>
      <right style="double">
        <color theme="5" tint="-0.24994659260841701"/>
      </right>
      <top style="hair">
        <color theme="5" tint="-0.24994659260841701"/>
      </top>
      <bottom/>
      <diagonal/>
    </border>
    <border>
      <left style="thin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 style="double">
        <color theme="5" tint="-0.24994659260841701"/>
      </left>
      <right/>
      <top style="dashed">
        <color auto="1"/>
      </top>
      <bottom style="hair">
        <color theme="5" tint="-0.24994659260841701"/>
      </bottom>
      <diagonal/>
    </border>
    <border>
      <left/>
      <right style="double">
        <color theme="5" tint="-0.24994659260841701"/>
      </right>
      <top style="dashed">
        <color auto="1"/>
      </top>
      <bottom style="hair">
        <color theme="5" tint="-0.2499465926084170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ashed">
        <color auto="1"/>
      </bottom>
      <diagonal/>
    </border>
    <border>
      <left style="double">
        <color theme="5" tint="-0.24994659260841701"/>
      </left>
      <right/>
      <top style="hair">
        <color theme="5" tint="-0.24994659260841701"/>
      </top>
      <bottom style="dashed">
        <color auto="1"/>
      </bottom>
      <diagonal/>
    </border>
    <border>
      <left/>
      <right style="double">
        <color theme="5" tint="-0.24994659260841701"/>
      </right>
      <top style="hair">
        <color theme="5" tint="-0.24994659260841701"/>
      </top>
      <bottom style="dashed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double">
        <color theme="5" tint="-0.499984740745262"/>
      </top>
      <bottom style="double">
        <color theme="5" tint="-0.499984740745262"/>
      </bottom>
      <diagonal/>
    </border>
    <border>
      <left/>
      <right/>
      <top style="double">
        <color theme="5" tint="-0.499984740745262"/>
      </top>
      <bottom style="double">
        <color theme="5" tint="-0.499984740745262"/>
      </bottom>
      <diagonal/>
    </border>
    <border>
      <left style="double">
        <color theme="5" tint="-0.24994659260841701"/>
      </left>
      <right/>
      <top style="double">
        <color theme="5" tint="-0.499984740745262"/>
      </top>
      <bottom style="double">
        <color theme="5" tint="-0.499984740745262"/>
      </bottom>
      <diagonal/>
    </border>
    <border>
      <left/>
      <right style="double">
        <color theme="5" tint="-0.24994659260841701"/>
      </right>
      <top style="double">
        <color theme="5" tint="-0.499984740745262"/>
      </top>
      <bottom style="double">
        <color theme="5" tint="-0.499984740745262"/>
      </bottom>
      <diagonal/>
    </border>
  </borders>
  <cellStyleXfs count="45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31" fillId="0" borderId="43" applyNumberFormat="0" applyFill="0" applyAlignment="0" applyProtection="0">
      <alignment vertical="center"/>
    </xf>
    <xf numFmtId="0" fontId="32" fillId="0" borderId="44" applyNumberFormat="0" applyFill="0" applyAlignment="0" applyProtection="0">
      <alignment vertical="center"/>
    </xf>
    <xf numFmtId="0" fontId="33" fillId="0" borderId="45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6" fillId="15" borderId="46" applyNumberFormat="0" applyAlignment="0" applyProtection="0">
      <alignment vertical="center"/>
    </xf>
    <xf numFmtId="0" fontId="37" fillId="16" borderId="47" applyNumberFormat="0" applyAlignment="0" applyProtection="0">
      <alignment vertical="center"/>
    </xf>
    <xf numFmtId="0" fontId="38" fillId="16" borderId="46" applyNumberFormat="0" applyAlignment="0" applyProtection="0">
      <alignment vertical="center"/>
    </xf>
    <xf numFmtId="0" fontId="39" fillId="0" borderId="48" applyNumberFormat="0" applyFill="0" applyAlignment="0" applyProtection="0">
      <alignment vertical="center"/>
    </xf>
    <xf numFmtId="0" fontId="40" fillId="17" borderId="49" applyNumberFormat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30" fillId="18" borderId="50" applyNumberFormat="0" applyFon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51" applyNumberFormat="0" applyFill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  <xf numFmtId="0" fontId="30" fillId="41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</cellStyleXfs>
  <cellXfs count="221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right" vertical="center"/>
    </xf>
    <xf numFmtId="0" fontId="5" fillId="3" borderId="5" xfId="0" applyFont="1" applyFill="1" applyBorder="1" applyAlignment="1">
      <alignment horizontal="right" vertical="center"/>
    </xf>
    <xf numFmtId="0" fontId="6" fillId="3" borderId="6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8" fillId="3" borderId="6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2" fillId="0" borderId="10" xfId="0" applyFont="1" applyBorder="1">
      <alignment vertical="center"/>
    </xf>
    <xf numFmtId="0" fontId="13" fillId="0" borderId="11" xfId="0" applyFont="1" applyBorder="1">
      <alignment vertical="center"/>
    </xf>
    <xf numFmtId="0" fontId="14" fillId="0" borderId="10" xfId="0" applyFont="1" applyBorder="1" applyAlignment="1">
      <alignment horizontal="left" vertical="center"/>
    </xf>
    <xf numFmtId="0" fontId="12" fillId="0" borderId="11" xfId="0" applyFont="1" applyBorder="1" applyAlignment="1">
      <alignment horizontal="left" vertical="center"/>
    </xf>
    <xf numFmtId="0" fontId="15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0" xfId="0" quotePrefix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8" xfId="0" quotePrefix="1" applyBorder="1">
      <alignment vertical="center"/>
    </xf>
    <xf numFmtId="0" fontId="0" fillId="0" borderId="19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5" borderId="1" xfId="0" applyFill="1" applyBorder="1">
      <alignment vertical="center"/>
    </xf>
    <xf numFmtId="0" fontId="0" fillId="5" borderId="20" xfId="0" applyFill="1" applyBorder="1">
      <alignment vertical="center"/>
    </xf>
    <xf numFmtId="0" fontId="1" fillId="5" borderId="20" xfId="0" applyFont="1" applyFill="1" applyBorder="1" applyAlignment="1">
      <alignment horizontal="right" vertical="center"/>
    </xf>
    <xf numFmtId="0" fontId="21" fillId="5" borderId="20" xfId="0" applyFont="1" applyFill="1" applyBorder="1" applyAlignment="1">
      <alignment horizontal="right" vertical="center"/>
    </xf>
    <xf numFmtId="0" fontId="22" fillId="5" borderId="20" xfId="0" applyFont="1" applyFill="1" applyBorder="1" applyAlignment="1">
      <alignment horizontal="left" vertical="center"/>
    </xf>
    <xf numFmtId="0" fontId="23" fillId="5" borderId="20" xfId="0" applyFont="1" applyFill="1" applyBorder="1" applyAlignment="1">
      <alignment horizontal="left" vertical="center"/>
    </xf>
    <xf numFmtId="0" fontId="0" fillId="6" borderId="2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1" fillId="6" borderId="22" xfId="0" applyFont="1" applyFill="1" applyBorder="1" applyAlignment="1">
      <alignment horizontal="right" vertical="center"/>
    </xf>
    <xf numFmtId="0" fontId="22" fillId="6" borderId="22" xfId="0" applyFont="1" applyFill="1" applyBorder="1" applyAlignment="1">
      <alignment horizontal="left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1" fillId="6" borderId="25" xfId="0" applyFont="1" applyFill="1" applyBorder="1" applyAlignment="1">
      <alignment horizontal="right" vertical="center"/>
    </xf>
    <xf numFmtId="0" fontId="22" fillId="6" borderId="25" xfId="0" applyFont="1" applyFill="1" applyBorder="1" applyAlignment="1">
      <alignment horizontal="left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1" fillId="6" borderId="28" xfId="0" applyFont="1" applyFill="1" applyBorder="1" applyAlignment="1">
      <alignment horizontal="right" vertical="center"/>
    </xf>
    <xf numFmtId="0" fontId="22" fillId="6" borderId="28" xfId="0" applyFont="1" applyFill="1" applyBorder="1" applyAlignment="1">
      <alignment horizontal="left" vertical="center"/>
    </xf>
    <xf numFmtId="0" fontId="0" fillId="6" borderId="29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5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27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177" fontId="1" fillId="0" borderId="0" xfId="0" applyNumberFormat="1" applyFont="1">
      <alignment vertical="center"/>
    </xf>
    <xf numFmtId="0" fontId="1" fillId="0" borderId="0" xfId="0" applyFont="1" applyAlignment="1">
      <alignment horizontal="center" vertical="center"/>
    </xf>
    <xf numFmtId="0" fontId="2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2" fillId="0" borderId="4" xfId="0" applyFont="1" applyBorder="1">
      <alignment vertical="center"/>
    </xf>
    <xf numFmtId="0" fontId="13" fillId="0" borderId="5" xfId="0" applyFont="1" applyBorder="1">
      <alignment vertical="center"/>
    </xf>
    <xf numFmtId="0" fontId="14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0" fillId="4" borderId="35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0" fontId="0" fillId="0" borderId="36" xfId="0" applyNumberFormat="1" applyBorder="1" applyAlignment="1">
      <alignment horizontal="center" vertical="center"/>
    </xf>
    <xf numFmtId="0" fontId="12" fillId="0" borderId="37" xfId="0" applyFont="1" applyBorder="1">
      <alignment vertical="center"/>
    </xf>
    <xf numFmtId="0" fontId="13" fillId="0" borderId="38" xfId="0" applyFont="1" applyBorder="1">
      <alignment vertical="center"/>
    </xf>
    <xf numFmtId="0" fontId="14" fillId="0" borderId="37" xfId="0" applyFont="1" applyBorder="1" applyAlignment="1">
      <alignment horizontal="left" vertical="center"/>
    </xf>
    <xf numFmtId="0" fontId="12" fillId="0" borderId="38" xfId="0" applyFont="1" applyBorder="1" applyAlignment="1">
      <alignment horizontal="left" vertical="center"/>
    </xf>
    <xf numFmtId="0" fontId="15" fillId="4" borderId="36" xfId="0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16" fillId="4" borderId="4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0" fontId="12" fillId="0" borderId="41" xfId="0" applyFont="1" applyBorder="1">
      <alignment vertical="center"/>
    </xf>
    <xf numFmtId="0" fontId="13" fillId="0" borderId="42" xfId="0" applyFont="1" applyBorder="1">
      <alignment vertical="center"/>
    </xf>
    <xf numFmtId="0" fontId="14" fillId="0" borderId="41" xfId="0" applyFont="1" applyBorder="1" applyAlignment="1">
      <alignment horizontal="left" vertical="center"/>
    </xf>
    <xf numFmtId="0" fontId="12" fillId="0" borderId="42" xfId="0" applyFont="1" applyBorder="1" applyAlignment="1">
      <alignment horizontal="left" vertical="center"/>
    </xf>
    <xf numFmtId="0" fontId="15" fillId="4" borderId="3" xfId="0" applyFont="1" applyFill="1" applyBorder="1" applyAlignment="1">
      <alignment horizontal="center" vertical="center"/>
    </xf>
    <xf numFmtId="0" fontId="27" fillId="4" borderId="39" xfId="0" applyFont="1" applyFill="1" applyBorder="1" applyAlignment="1">
      <alignment horizontal="center" vertical="center"/>
    </xf>
    <xf numFmtId="0" fontId="27" fillId="4" borderId="35" xfId="0" applyFont="1" applyFill="1" applyBorder="1" applyAlignment="1">
      <alignment horizontal="center" vertical="center"/>
    </xf>
    <xf numFmtId="10" fontId="0" fillId="8" borderId="0" xfId="0" applyNumberFormat="1" applyFill="1" applyAlignment="1">
      <alignment horizontal="center" vertical="center"/>
    </xf>
    <xf numFmtId="0" fontId="12" fillId="8" borderId="33" xfId="0" applyFont="1" applyFill="1" applyBorder="1">
      <alignment vertical="center"/>
    </xf>
    <xf numFmtId="0" fontId="13" fillId="8" borderId="34" xfId="0" applyFont="1" applyFill="1" applyBorder="1">
      <alignment vertical="center"/>
    </xf>
    <xf numFmtId="0" fontId="14" fillId="8" borderId="33" xfId="0" applyFont="1" applyFill="1" applyBorder="1" applyAlignment="1">
      <alignment horizontal="left" vertical="center"/>
    </xf>
    <xf numFmtId="0" fontId="12" fillId="8" borderId="34" xfId="0" applyFont="1" applyFill="1" applyBorder="1" applyAlignment="1">
      <alignment horizontal="left" vertical="center"/>
    </xf>
    <xf numFmtId="0" fontId="0" fillId="8" borderId="36" xfId="0" applyFill="1" applyBorder="1" applyAlignment="1">
      <alignment horizontal="center" vertical="center"/>
    </xf>
    <xf numFmtId="10" fontId="0" fillId="8" borderId="36" xfId="0" applyNumberFormat="1" applyFill="1" applyBorder="1" applyAlignment="1">
      <alignment horizontal="center" vertical="center"/>
    </xf>
    <xf numFmtId="0" fontId="12" fillId="8" borderId="37" xfId="0" applyFont="1" applyFill="1" applyBorder="1">
      <alignment vertical="center"/>
    </xf>
    <xf numFmtId="0" fontId="13" fillId="8" borderId="38" xfId="0" applyFont="1" applyFill="1" applyBorder="1">
      <alignment vertical="center"/>
    </xf>
    <xf numFmtId="0" fontId="14" fillId="8" borderId="37" xfId="0" applyFont="1" applyFill="1" applyBorder="1" applyAlignment="1">
      <alignment horizontal="left" vertical="center"/>
    </xf>
    <xf numFmtId="0" fontId="12" fillId="8" borderId="38" xfId="0" applyFont="1" applyFill="1" applyBorder="1" applyAlignment="1">
      <alignment horizontal="left" vertical="center"/>
    </xf>
    <xf numFmtId="0" fontId="12" fillId="8" borderId="10" xfId="0" applyFont="1" applyFill="1" applyBorder="1">
      <alignment vertical="center"/>
    </xf>
    <xf numFmtId="0" fontId="13" fillId="8" borderId="11" xfId="0" applyFont="1" applyFill="1" applyBorder="1">
      <alignment vertical="center"/>
    </xf>
    <xf numFmtId="0" fontId="14" fillId="8" borderId="10" xfId="0" applyFont="1" applyFill="1" applyBorder="1" applyAlignment="1">
      <alignment horizontal="left" vertical="center"/>
    </xf>
    <xf numFmtId="0" fontId="12" fillId="8" borderId="11" xfId="0" applyFont="1" applyFill="1" applyBorder="1" applyAlignment="1">
      <alignment horizontal="left" vertical="center"/>
    </xf>
    <xf numFmtId="0" fontId="0" fillId="8" borderId="3" xfId="0" applyFill="1" applyBorder="1" applyAlignment="1">
      <alignment horizontal="center" vertical="center"/>
    </xf>
    <xf numFmtId="10" fontId="0" fillId="8" borderId="3" xfId="0" applyNumberFormat="1" applyFill="1" applyBorder="1" applyAlignment="1">
      <alignment horizontal="center" vertical="center"/>
    </xf>
    <xf numFmtId="0" fontId="12" fillId="8" borderId="41" xfId="0" applyFont="1" applyFill="1" applyBorder="1">
      <alignment vertical="center"/>
    </xf>
    <xf numFmtId="0" fontId="13" fillId="8" borderId="42" xfId="0" applyFont="1" applyFill="1" applyBorder="1">
      <alignment vertical="center"/>
    </xf>
    <xf numFmtId="0" fontId="14" fillId="8" borderId="41" xfId="0" applyFont="1" applyFill="1" applyBorder="1" applyAlignment="1">
      <alignment horizontal="left" vertical="center"/>
    </xf>
    <xf numFmtId="0" fontId="12" fillId="8" borderId="42" xfId="0" applyFont="1" applyFill="1" applyBorder="1" applyAlignment="1">
      <alignment horizontal="left" vertical="center"/>
    </xf>
    <xf numFmtId="0" fontId="24" fillId="10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0" fontId="0" fillId="11" borderId="0" xfId="0" applyNumberFormat="1" applyFill="1" applyAlignment="1">
      <alignment horizontal="center" vertical="center"/>
    </xf>
    <xf numFmtId="0" fontId="0" fillId="11" borderId="36" xfId="0" applyFill="1" applyBorder="1" applyAlignment="1">
      <alignment horizontal="center" vertical="center"/>
    </xf>
    <xf numFmtId="10" fontId="0" fillId="11" borderId="36" xfId="0" applyNumberFormat="1" applyFill="1" applyBorder="1" applyAlignment="1">
      <alignment horizontal="center" vertical="center"/>
    </xf>
    <xf numFmtId="0" fontId="12" fillId="11" borderId="37" xfId="0" applyFont="1" applyFill="1" applyBorder="1">
      <alignment vertical="center"/>
    </xf>
    <xf numFmtId="0" fontId="13" fillId="11" borderId="38" xfId="0" applyFont="1" applyFill="1" applyBorder="1">
      <alignment vertical="center"/>
    </xf>
    <xf numFmtId="0" fontId="14" fillId="11" borderId="37" xfId="0" applyFont="1" applyFill="1" applyBorder="1" applyAlignment="1">
      <alignment horizontal="left" vertical="center"/>
    </xf>
    <xf numFmtId="0" fontId="12" fillId="11" borderId="38" xfId="0" applyFont="1" applyFill="1" applyBorder="1" applyAlignment="1">
      <alignment horizontal="left" vertical="center"/>
    </xf>
    <xf numFmtId="0" fontId="12" fillId="11" borderId="10" xfId="0" applyFont="1" applyFill="1" applyBorder="1">
      <alignment vertical="center"/>
    </xf>
    <xf numFmtId="0" fontId="13" fillId="11" borderId="11" xfId="0" applyFont="1" applyFill="1" applyBorder="1">
      <alignment vertical="center"/>
    </xf>
    <xf numFmtId="0" fontId="14" fillId="11" borderId="10" xfId="0" applyFont="1" applyFill="1" applyBorder="1" applyAlignment="1">
      <alignment horizontal="left" vertical="center"/>
    </xf>
    <xf numFmtId="0" fontId="12" fillId="11" borderId="11" xfId="0" applyFont="1" applyFill="1" applyBorder="1" applyAlignment="1">
      <alignment horizontal="left" vertical="center"/>
    </xf>
    <xf numFmtId="0" fontId="0" fillId="11" borderId="3" xfId="0" applyFill="1" applyBorder="1" applyAlignment="1">
      <alignment horizontal="center" vertical="center"/>
    </xf>
    <xf numFmtId="10" fontId="0" fillId="11" borderId="3" xfId="0" applyNumberFormat="1" applyFill="1" applyBorder="1" applyAlignment="1">
      <alignment horizontal="center" vertical="center"/>
    </xf>
    <xf numFmtId="0" fontId="12" fillId="11" borderId="41" xfId="0" applyFont="1" applyFill="1" applyBorder="1">
      <alignment vertical="center"/>
    </xf>
    <xf numFmtId="0" fontId="13" fillId="11" borderId="42" xfId="0" applyFont="1" applyFill="1" applyBorder="1">
      <alignment vertical="center"/>
    </xf>
    <xf numFmtId="0" fontId="14" fillId="11" borderId="41" xfId="0" applyFont="1" applyFill="1" applyBorder="1" applyAlignment="1">
      <alignment horizontal="left" vertical="center"/>
    </xf>
    <xf numFmtId="0" fontId="12" fillId="11" borderId="42" xfId="0" applyFont="1" applyFill="1" applyBorder="1" applyAlignment="1">
      <alignment horizontal="left" vertical="center"/>
    </xf>
    <xf numFmtId="21" fontId="0" fillId="0" borderId="0" xfId="0" applyNumberFormat="1">
      <alignment vertical="center"/>
    </xf>
    <xf numFmtId="0" fontId="16" fillId="4" borderId="39" xfId="0" applyFont="1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11" borderId="53" xfId="0" applyFill="1" applyBorder="1" applyAlignment="1">
      <alignment horizontal="center" vertical="center"/>
    </xf>
    <xf numFmtId="10" fontId="0" fillId="11" borderId="53" xfId="0" applyNumberFormat="1" applyFill="1" applyBorder="1" applyAlignment="1">
      <alignment horizontal="center" vertical="center"/>
    </xf>
    <xf numFmtId="0" fontId="12" fillId="11" borderId="54" xfId="0" applyFont="1" applyFill="1" applyBorder="1">
      <alignment vertical="center"/>
    </xf>
    <xf numFmtId="0" fontId="13" fillId="11" borderId="55" xfId="0" applyFont="1" applyFill="1" applyBorder="1">
      <alignment vertical="center"/>
    </xf>
    <xf numFmtId="0" fontId="14" fillId="11" borderId="54" xfId="0" applyFont="1" applyFill="1" applyBorder="1" applyAlignment="1">
      <alignment horizontal="left" vertical="center"/>
    </xf>
    <xf numFmtId="0" fontId="12" fillId="11" borderId="55" xfId="0" applyFont="1" applyFill="1" applyBorder="1" applyAlignment="1">
      <alignment horizontal="left" vertical="center"/>
    </xf>
    <xf numFmtId="177" fontId="0" fillId="8" borderId="0" xfId="0" applyNumberFormat="1" applyFill="1" applyAlignment="1">
      <alignment horizontal="center" vertical="center"/>
    </xf>
    <xf numFmtId="0" fontId="0" fillId="8" borderId="53" xfId="0" applyFill="1" applyBorder="1" applyAlignment="1">
      <alignment horizontal="center" vertical="center"/>
    </xf>
    <xf numFmtId="10" fontId="0" fillId="8" borderId="53" xfId="0" applyNumberFormat="1" applyFill="1" applyBorder="1" applyAlignment="1">
      <alignment horizontal="center" vertical="center"/>
    </xf>
    <xf numFmtId="0" fontId="12" fillId="8" borderId="54" xfId="0" applyFont="1" applyFill="1" applyBorder="1">
      <alignment vertical="center"/>
    </xf>
    <xf numFmtId="0" fontId="13" fillId="8" borderId="55" xfId="0" applyFont="1" applyFill="1" applyBorder="1">
      <alignment vertical="center"/>
    </xf>
    <xf numFmtId="0" fontId="14" fillId="8" borderId="54" xfId="0" applyFont="1" applyFill="1" applyBorder="1" applyAlignment="1">
      <alignment horizontal="left" vertical="center"/>
    </xf>
    <xf numFmtId="0" fontId="12" fillId="8" borderId="55" xfId="0" applyFont="1" applyFill="1" applyBorder="1" applyAlignment="1">
      <alignment horizontal="left" vertical="center"/>
    </xf>
    <xf numFmtId="178" fontId="1" fillId="0" borderId="0" xfId="0" applyNumberFormat="1" applyFont="1">
      <alignment vertical="center"/>
    </xf>
    <xf numFmtId="178" fontId="21" fillId="0" borderId="0" xfId="0" applyNumberFormat="1" applyFont="1">
      <alignment vertical="center"/>
    </xf>
    <xf numFmtId="0" fontId="0" fillId="43" borderId="53" xfId="0" applyFill="1" applyBorder="1" applyAlignment="1">
      <alignment horizontal="center" vertical="center"/>
    </xf>
    <xf numFmtId="10" fontId="0" fillId="43" borderId="53" xfId="0" applyNumberFormat="1" applyFill="1" applyBorder="1" applyAlignment="1">
      <alignment horizontal="center" vertical="center"/>
    </xf>
    <xf numFmtId="0" fontId="12" fillId="43" borderId="54" xfId="0" applyFont="1" applyFill="1" applyBorder="1">
      <alignment vertical="center"/>
    </xf>
    <xf numFmtId="0" fontId="13" fillId="43" borderId="55" xfId="0" applyFont="1" applyFill="1" applyBorder="1">
      <alignment vertical="center"/>
    </xf>
    <xf numFmtId="0" fontId="14" fillId="43" borderId="54" xfId="0" applyFont="1" applyFill="1" applyBorder="1" applyAlignment="1">
      <alignment horizontal="left" vertical="center"/>
    </xf>
    <xf numFmtId="0" fontId="12" fillId="43" borderId="55" xfId="0" applyFont="1" applyFill="1" applyBorder="1" applyAlignment="1">
      <alignment horizontal="left" vertical="center"/>
    </xf>
    <xf numFmtId="0" fontId="0" fillId="43" borderId="0" xfId="0" applyFill="1" applyAlignment="1">
      <alignment horizontal="center" vertical="center"/>
    </xf>
    <xf numFmtId="10" fontId="0" fillId="43" borderId="0" xfId="0" applyNumberFormat="1" applyFill="1" applyAlignment="1">
      <alignment horizontal="center" vertical="center"/>
    </xf>
    <xf numFmtId="0" fontId="12" fillId="43" borderId="4" xfId="0" applyFont="1" applyFill="1" applyBorder="1">
      <alignment vertical="center"/>
    </xf>
    <xf numFmtId="0" fontId="13" fillId="43" borderId="5" xfId="0" applyFont="1" applyFill="1" applyBorder="1">
      <alignment vertical="center"/>
    </xf>
    <xf numFmtId="0" fontId="14" fillId="43" borderId="4" xfId="0" applyFont="1" applyFill="1" applyBorder="1" applyAlignment="1">
      <alignment horizontal="left" vertical="center"/>
    </xf>
    <xf numFmtId="0" fontId="12" fillId="43" borderId="5" xfId="0" applyFont="1" applyFill="1" applyBorder="1" applyAlignment="1">
      <alignment horizontal="left" vertical="center"/>
    </xf>
    <xf numFmtId="0" fontId="12" fillId="43" borderId="10" xfId="0" applyFont="1" applyFill="1" applyBorder="1">
      <alignment vertical="center"/>
    </xf>
    <xf numFmtId="0" fontId="13" fillId="43" borderId="11" xfId="0" applyFont="1" applyFill="1" applyBorder="1">
      <alignment vertical="center"/>
    </xf>
    <xf numFmtId="0" fontId="14" fillId="43" borderId="10" xfId="0" applyFont="1" applyFill="1" applyBorder="1" applyAlignment="1">
      <alignment horizontal="left" vertical="center"/>
    </xf>
    <xf numFmtId="0" fontId="12" fillId="43" borderId="11" xfId="0" applyFont="1" applyFill="1" applyBorder="1" applyAlignment="1">
      <alignment horizontal="left" vertical="center"/>
    </xf>
    <xf numFmtId="0" fontId="0" fillId="43" borderId="3" xfId="0" applyFill="1" applyBorder="1" applyAlignment="1">
      <alignment horizontal="center" vertical="center"/>
    </xf>
    <xf numFmtId="10" fontId="0" fillId="43" borderId="3" xfId="0" applyNumberFormat="1" applyFill="1" applyBorder="1" applyAlignment="1">
      <alignment horizontal="center" vertical="center"/>
    </xf>
    <xf numFmtId="0" fontId="12" fillId="43" borderId="41" xfId="0" applyFont="1" applyFill="1" applyBorder="1">
      <alignment vertical="center"/>
    </xf>
    <xf numFmtId="0" fontId="13" fillId="43" borderId="42" xfId="0" applyFont="1" applyFill="1" applyBorder="1">
      <alignment vertical="center"/>
    </xf>
    <xf numFmtId="0" fontId="14" fillId="43" borderId="41" xfId="0" applyFont="1" applyFill="1" applyBorder="1" applyAlignment="1">
      <alignment horizontal="left" vertical="center"/>
    </xf>
    <xf numFmtId="0" fontId="12" fillId="43" borderId="42" xfId="0" applyFont="1" applyFill="1" applyBorder="1" applyAlignment="1">
      <alignment horizontal="left" vertical="center"/>
    </xf>
    <xf numFmtId="0" fontId="0" fillId="43" borderId="36" xfId="0" applyFill="1" applyBorder="1" applyAlignment="1">
      <alignment horizontal="center" vertical="center"/>
    </xf>
    <xf numFmtId="10" fontId="0" fillId="43" borderId="36" xfId="0" applyNumberFormat="1" applyFill="1" applyBorder="1" applyAlignment="1">
      <alignment horizontal="center" vertical="center"/>
    </xf>
    <xf numFmtId="0" fontId="12" fillId="43" borderId="37" xfId="0" applyFont="1" applyFill="1" applyBorder="1">
      <alignment vertical="center"/>
    </xf>
    <xf numFmtId="0" fontId="13" fillId="43" borderId="38" xfId="0" applyFont="1" applyFill="1" applyBorder="1">
      <alignment vertical="center"/>
    </xf>
    <xf numFmtId="0" fontId="14" fillId="43" borderId="37" xfId="0" applyFont="1" applyFill="1" applyBorder="1" applyAlignment="1">
      <alignment horizontal="left" vertical="center"/>
    </xf>
    <xf numFmtId="0" fontId="12" fillId="43" borderId="38" xfId="0" applyFont="1" applyFill="1" applyBorder="1" applyAlignment="1">
      <alignment horizontal="left" vertical="center"/>
    </xf>
    <xf numFmtId="177" fontId="5" fillId="8" borderId="11" xfId="0" applyNumberFormat="1" applyFont="1" applyFill="1" applyBorder="1" applyAlignment="1">
      <alignment horizontal="left" vertical="center"/>
    </xf>
    <xf numFmtId="176" fontId="0" fillId="8" borderId="0" xfId="0" applyNumberFormat="1" applyFill="1" applyAlignment="1">
      <alignment horizontal="center" vertical="center"/>
    </xf>
    <xf numFmtId="176" fontId="1" fillId="0" borderId="0" xfId="0" applyNumberFormat="1" applyFont="1">
      <alignment vertical="center"/>
    </xf>
    <xf numFmtId="0" fontId="48" fillId="4" borderId="53" xfId="0" applyFont="1" applyFill="1" applyBorder="1" applyAlignment="1">
      <alignment horizontal="center" vertical="center"/>
    </xf>
    <xf numFmtId="0" fontId="48" fillId="4" borderId="36" xfId="0" applyFont="1" applyFill="1" applyBorder="1" applyAlignment="1">
      <alignment horizontal="center" vertical="center"/>
    </xf>
    <xf numFmtId="0" fontId="48" fillId="4" borderId="0" xfId="0" applyFont="1" applyFill="1" applyAlignment="1">
      <alignment horizontal="center" vertical="center"/>
    </xf>
    <xf numFmtId="0" fontId="48" fillId="4" borderId="3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49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3" fillId="0" borderId="0" xfId="0" applyFont="1">
      <alignment vertical="center"/>
    </xf>
    <xf numFmtId="178" fontId="50" fillId="43" borderId="0" xfId="0" applyNumberFormat="1" applyFont="1" applyFill="1" applyAlignment="1">
      <alignment horizontal="center" vertical="center"/>
    </xf>
    <xf numFmtId="178" fontId="52" fillId="43" borderId="0" xfId="0" applyNumberFormat="1" applyFont="1" applyFill="1" applyAlignment="1">
      <alignment horizontal="center" vertical="center"/>
    </xf>
    <xf numFmtId="178" fontId="54" fillId="43" borderId="0" xfId="0" applyNumberFormat="1" applyFont="1" applyFill="1" applyAlignment="1">
      <alignment horizontal="center" vertical="center"/>
    </xf>
    <xf numFmtId="178" fontId="55" fillId="43" borderId="0" xfId="0" applyNumberFormat="1" applyFont="1" applyFill="1" applyAlignment="1">
      <alignment horizontal="center" vertical="center"/>
    </xf>
    <xf numFmtId="178" fontId="49" fillId="44" borderId="0" xfId="0" applyNumberFormat="1" applyFont="1" applyFill="1" applyAlignment="1">
      <alignment horizontal="center" vertical="center"/>
    </xf>
    <xf numFmtId="178" fontId="51" fillId="44" borderId="0" xfId="0" applyNumberFormat="1" applyFont="1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78" fontId="53" fillId="44" borderId="0" xfId="0" applyNumberFormat="1" applyFont="1" applyFill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0" fillId="0" borderId="0" xfId="0">
      <alignment vertical="center"/>
    </xf>
    <xf numFmtId="0" fontId="24" fillId="10" borderId="1" xfId="0" applyFont="1" applyFill="1" applyBorder="1">
      <alignment vertical="center"/>
    </xf>
    <xf numFmtId="0" fontId="25" fillId="2" borderId="1" xfId="0" applyFont="1" applyFill="1" applyBorder="1">
      <alignment vertical="center"/>
    </xf>
    <xf numFmtId="0" fontId="56" fillId="2" borderId="1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6" fillId="2" borderId="1" xfId="0" applyFont="1" applyFill="1" applyBorder="1">
      <alignment vertical="center"/>
    </xf>
    <xf numFmtId="0" fontId="0" fillId="0" borderId="0" xfId="0">
      <alignment vertical="center"/>
    </xf>
    <xf numFmtId="179" fontId="0" fillId="8" borderId="3" xfId="0" applyNumberFormat="1" applyFill="1" applyBorder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>
      <alignment vertical="center"/>
    </xf>
    <xf numFmtId="0" fontId="57" fillId="9" borderId="30" xfId="0" applyFont="1" applyFill="1" applyBorder="1" applyAlignment="1">
      <alignment horizontal="center" vertical="center"/>
    </xf>
    <xf numFmtId="0" fontId="26" fillId="9" borderId="31" xfId="0" applyFont="1" applyFill="1" applyBorder="1" applyAlignment="1">
      <alignment horizontal="center" vertical="center"/>
    </xf>
    <xf numFmtId="0" fontId="26" fillId="9" borderId="32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1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45">
    <cellStyle name="20% - 輔色1" xfId="20" builtinId="30" customBuiltin="1"/>
    <cellStyle name="20% - 輔色2" xfId="23" builtinId="34" customBuiltin="1"/>
    <cellStyle name="20% - 輔色3" xfId="26" builtinId="38" customBuiltin="1"/>
    <cellStyle name="20% - 輔色4" xfId="29" builtinId="42" customBuiltin="1"/>
    <cellStyle name="20% - 輔色5" xfId="32" builtinId="46" customBuiltin="1"/>
    <cellStyle name="20% - 輔色6" xfId="35" builtinId="50" customBuiltin="1"/>
    <cellStyle name="40% - 輔色1" xfId="21" builtinId="31" customBuiltin="1"/>
    <cellStyle name="40% - 輔色2" xfId="24" builtinId="35" customBuiltin="1"/>
    <cellStyle name="40% - 輔色3" xfId="27" builtinId="39" customBuiltin="1"/>
    <cellStyle name="40% - 輔色4" xfId="30" builtinId="43" customBuiltin="1"/>
    <cellStyle name="40% - 輔色5" xfId="33" builtinId="47" customBuiltin="1"/>
    <cellStyle name="40% - 輔色6" xfId="36" builtinId="51" customBuiltin="1"/>
    <cellStyle name="60% - 輔色1 2" xfId="39"/>
    <cellStyle name="60% - 輔色2 2" xfId="40"/>
    <cellStyle name="60% - 輔色3 2" xfId="41"/>
    <cellStyle name="60% - 輔色4 2" xfId="42"/>
    <cellStyle name="60% - 輔色5 2" xfId="43"/>
    <cellStyle name="60% - 輔色6 2" xfId="44"/>
    <cellStyle name="一般" xfId="0" builtinId="0"/>
    <cellStyle name="一般 2" xfId="1"/>
    <cellStyle name="一般 3" xfId="2"/>
    <cellStyle name="中等 2" xfId="38"/>
    <cellStyle name="合計" xfId="18" builtinId="25" customBuiltin="1"/>
    <cellStyle name="好" xfId="8" builtinId="26" customBuiltin="1"/>
    <cellStyle name="計算方式" xfId="12" builtinId="22" customBuiltin="1"/>
    <cellStyle name="連結的儲存格" xfId="13" builtinId="24" customBuiltin="1"/>
    <cellStyle name="備註" xfId="16" builtinId="10" customBuiltin="1"/>
    <cellStyle name="超連結" xfId="3"/>
    <cellStyle name="說明文字" xfId="17" builtinId="53" customBuiltin="1"/>
    <cellStyle name="輔色1" xfId="19" builtinId="29" customBuiltin="1"/>
    <cellStyle name="輔色2" xfId="22" builtinId="33" customBuiltin="1"/>
    <cellStyle name="輔色3" xfId="25" builtinId="37" customBuiltin="1"/>
    <cellStyle name="輔色4" xfId="28" builtinId="41" customBuiltin="1"/>
    <cellStyle name="輔色5" xfId="31" builtinId="45" customBuiltin="1"/>
    <cellStyle name="輔色6" xfId="34" builtinId="49" customBuiltin="1"/>
    <cellStyle name="標題 1" xfId="4" builtinId="16" customBuiltin="1"/>
    <cellStyle name="標題 2" xfId="5" builtinId="17" customBuiltin="1"/>
    <cellStyle name="標題 3" xfId="6" builtinId="18" customBuiltin="1"/>
    <cellStyle name="標題 4" xfId="7" builtinId="19" customBuiltin="1"/>
    <cellStyle name="標題 5" xfId="37"/>
    <cellStyle name="輸入" xfId="10" builtinId="20" customBuiltin="1"/>
    <cellStyle name="輸出" xfId="11" builtinId="21" customBuiltin="1"/>
    <cellStyle name="檢查儲存格" xfId="14" builtinId="23" customBuiltin="1"/>
    <cellStyle name="壞" xfId="9" builtinId="27" customBuiltin="1"/>
    <cellStyle name="警告文字" xfId="15" builtinId="11" customBuiltin="1"/>
  </cellStyles>
  <dxfs count="0"/>
  <tableStyles count="0" defaultTableStyle="TableStyleMedium9" defaultPivotStyle="PivotStyleLight16"/>
  <colors>
    <mruColors>
      <color rgb="FFFFFF97"/>
      <color rgb="FFF4E8F3"/>
      <color rgb="FFEFDDEE"/>
      <color rgb="FFFBD8BB"/>
      <color rgb="FFFCECDC"/>
      <color rgb="FFFEF9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eetMetadata" Target="metadata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啟動記錄"/>
  <ax:ocxPr ax:name="Size" ax:value="4551;661"/>
  <ax:ocxPr ax:name="FontName" ax:value="新細明體"/>
  <ax:ocxPr ax:name="FontHeight" ax:value="180"/>
  <ax:ocxPr ax:name="FontCharSet" ax:value="136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147306219049042"/>
          <c:y val="0.16330116324557517"/>
          <c:w val="0.86385968974569061"/>
          <c:h val="0.79643540119270206"/>
        </c:manualLayout>
      </c:layout>
      <c:lineChart>
        <c:grouping val="standard"/>
        <c:ser>
          <c:idx val="0"/>
          <c:order val="0"/>
          <c:tx>
            <c:strRef>
              <c:f>結算估價!$H$1</c:f>
              <c:strCache>
                <c:ptCount val="1"/>
                <c:pt idx="0">
                  <c:v>台積電</c:v>
                </c:pt>
              </c:strCache>
            </c:strRef>
          </c:tx>
          <c:marker>
            <c:symbol val="none"/>
          </c:marker>
          <c:cat>
            <c:numRef>
              <c:f>結算估價!$D$6:$D$666</c:f>
              <c:numCache>
                <c:formatCode>General</c:formatCode>
                <c:ptCount val="661"/>
                <c:pt idx="0">
                  <c:v>123000</c:v>
                </c:pt>
                <c:pt idx="1">
                  <c:v>123005</c:v>
                </c:pt>
                <c:pt idx="2">
                  <c:v>123010</c:v>
                </c:pt>
                <c:pt idx="3">
                  <c:v>123015</c:v>
                </c:pt>
                <c:pt idx="4">
                  <c:v>123020</c:v>
                </c:pt>
                <c:pt idx="5">
                  <c:v>123025</c:v>
                </c:pt>
                <c:pt idx="6">
                  <c:v>123030</c:v>
                </c:pt>
                <c:pt idx="7">
                  <c:v>123035</c:v>
                </c:pt>
                <c:pt idx="8">
                  <c:v>123040</c:v>
                </c:pt>
                <c:pt idx="9">
                  <c:v>123045</c:v>
                </c:pt>
                <c:pt idx="10">
                  <c:v>123050</c:v>
                </c:pt>
                <c:pt idx="11">
                  <c:v>123055</c:v>
                </c:pt>
                <c:pt idx="12">
                  <c:v>123100</c:v>
                </c:pt>
                <c:pt idx="13">
                  <c:v>123105</c:v>
                </c:pt>
                <c:pt idx="14">
                  <c:v>123110</c:v>
                </c:pt>
                <c:pt idx="15">
                  <c:v>123115</c:v>
                </c:pt>
                <c:pt idx="16">
                  <c:v>123120</c:v>
                </c:pt>
                <c:pt idx="17">
                  <c:v>123125</c:v>
                </c:pt>
                <c:pt idx="18">
                  <c:v>123130</c:v>
                </c:pt>
                <c:pt idx="19">
                  <c:v>123135</c:v>
                </c:pt>
                <c:pt idx="20">
                  <c:v>123140</c:v>
                </c:pt>
                <c:pt idx="21">
                  <c:v>123145</c:v>
                </c:pt>
                <c:pt idx="22">
                  <c:v>123150</c:v>
                </c:pt>
                <c:pt idx="23">
                  <c:v>123155</c:v>
                </c:pt>
                <c:pt idx="24">
                  <c:v>123200</c:v>
                </c:pt>
                <c:pt idx="25">
                  <c:v>123205</c:v>
                </c:pt>
                <c:pt idx="26">
                  <c:v>123210</c:v>
                </c:pt>
                <c:pt idx="27">
                  <c:v>123215</c:v>
                </c:pt>
                <c:pt idx="28">
                  <c:v>123220</c:v>
                </c:pt>
                <c:pt idx="29">
                  <c:v>123225</c:v>
                </c:pt>
                <c:pt idx="30">
                  <c:v>123230</c:v>
                </c:pt>
                <c:pt idx="31">
                  <c:v>123235</c:v>
                </c:pt>
                <c:pt idx="32">
                  <c:v>123240</c:v>
                </c:pt>
                <c:pt idx="33">
                  <c:v>123245</c:v>
                </c:pt>
                <c:pt idx="34">
                  <c:v>123250</c:v>
                </c:pt>
                <c:pt idx="35">
                  <c:v>123255</c:v>
                </c:pt>
                <c:pt idx="36">
                  <c:v>123300</c:v>
                </c:pt>
                <c:pt idx="37">
                  <c:v>123305</c:v>
                </c:pt>
                <c:pt idx="38">
                  <c:v>123310</c:v>
                </c:pt>
                <c:pt idx="39">
                  <c:v>123315</c:v>
                </c:pt>
                <c:pt idx="40">
                  <c:v>123320</c:v>
                </c:pt>
                <c:pt idx="41">
                  <c:v>123325</c:v>
                </c:pt>
                <c:pt idx="42">
                  <c:v>123330</c:v>
                </c:pt>
                <c:pt idx="43">
                  <c:v>123335</c:v>
                </c:pt>
                <c:pt idx="44">
                  <c:v>123340</c:v>
                </c:pt>
                <c:pt idx="45">
                  <c:v>123345</c:v>
                </c:pt>
                <c:pt idx="46">
                  <c:v>123350</c:v>
                </c:pt>
                <c:pt idx="47">
                  <c:v>123355</c:v>
                </c:pt>
                <c:pt idx="48">
                  <c:v>123400</c:v>
                </c:pt>
                <c:pt idx="49">
                  <c:v>123405</c:v>
                </c:pt>
                <c:pt idx="50">
                  <c:v>123410</c:v>
                </c:pt>
                <c:pt idx="51">
                  <c:v>123415</c:v>
                </c:pt>
                <c:pt idx="52">
                  <c:v>123420</c:v>
                </c:pt>
                <c:pt idx="53">
                  <c:v>123425</c:v>
                </c:pt>
                <c:pt idx="54">
                  <c:v>123430</c:v>
                </c:pt>
                <c:pt idx="55">
                  <c:v>123435</c:v>
                </c:pt>
                <c:pt idx="56">
                  <c:v>123440</c:v>
                </c:pt>
                <c:pt idx="57">
                  <c:v>123445</c:v>
                </c:pt>
                <c:pt idx="58">
                  <c:v>123450</c:v>
                </c:pt>
                <c:pt idx="59">
                  <c:v>123455</c:v>
                </c:pt>
                <c:pt idx="60">
                  <c:v>123500</c:v>
                </c:pt>
                <c:pt idx="61">
                  <c:v>123505</c:v>
                </c:pt>
                <c:pt idx="62">
                  <c:v>123510</c:v>
                </c:pt>
                <c:pt idx="63">
                  <c:v>123515</c:v>
                </c:pt>
                <c:pt idx="64">
                  <c:v>123520</c:v>
                </c:pt>
                <c:pt idx="65">
                  <c:v>123525</c:v>
                </c:pt>
                <c:pt idx="66">
                  <c:v>123530</c:v>
                </c:pt>
                <c:pt idx="67">
                  <c:v>123535</c:v>
                </c:pt>
                <c:pt idx="68">
                  <c:v>123540</c:v>
                </c:pt>
                <c:pt idx="69">
                  <c:v>123545</c:v>
                </c:pt>
                <c:pt idx="70">
                  <c:v>123550</c:v>
                </c:pt>
                <c:pt idx="71">
                  <c:v>123555</c:v>
                </c:pt>
                <c:pt idx="72">
                  <c:v>123600</c:v>
                </c:pt>
                <c:pt idx="73">
                  <c:v>123605</c:v>
                </c:pt>
                <c:pt idx="74">
                  <c:v>123610</c:v>
                </c:pt>
                <c:pt idx="75">
                  <c:v>123615</c:v>
                </c:pt>
                <c:pt idx="76">
                  <c:v>123620</c:v>
                </c:pt>
                <c:pt idx="77">
                  <c:v>123625</c:v>
                </c:pt>
                <c:pt idx="78">
                  <c:v>123630</c:v>
                </c:pt>
                <c:pt idx="79">
                  <c:v>123635</c:v>
                </c:pt>
                <c:pt idx="80">
                  <c:v>123640</c:v>
                </c:pt>
                <c:pt idx="81">
                  <c:v>123645</c:v>
                </c:pt>
                <c:pt idx="82">
                  <c:v>123650</c:v>
                </c:pt>
                <c:pt idx="83">
                  <c:v>123655</c:v>
                </c:pt>
                <c:pt idx="84">
                  <c:v>123700</c:v>
                </c:pt>
                <c:pt idx="85">
                  <c:v>123705</c:v>
                </c:pt>
                <c:pt idx="86">
                  <c:v>123710</c:v>
                </c:pt>
                <c:pt idx="87">
                  <c:v>123715</c:v>
                </c:pt>
                <c:pt idx="88">
                  <c:v>123720</c:v>
                </c:pt>
                <c:pt idx="89">
                  <c:v>123725</c:v>
                </c:pt>
                <c:pt idx="90">
                  <c:v>123730</c:v>
                </c:pt>
                <c:pt idx="91">
                  <c:v>123735</c:v>
                </c:pt>
                <c:pt idx="92">
                  <c:v>123740</c:v>
                </c:pt>
                <c:pt idx="93">
                  <c:v>123745</c:v>
                </c:pt>
                <c:pt idx="94">
                  <c:v>123750</c:v>
                </c:pt>
                <c:pt idx="95">
                  <c:v>123755</c:v>
                </c:pt>
                <c:pt idx="96">
                  <c:v>123800</c:v>
                </c:pt>
                <c:pt idx="97">
                  <c:v>123805</c:v>
                </c:pt>
                <c:pt idx="98">
                  <c:v>123810</c:v>
                </c:pt>
                <c:pt idx="99">
                  <c:v>123815</c:v>
                </c:pt>
                <c:pt idx="100">
                  <c:v>123820</c:v>
                </c:pt>
                <c:pt idx="101">
                  <c:v>123825</c:v>
                </c:pt>
                <c:pt idx="102">
                  <c:v>123830</c:v>
                </c:pt>
                <c:pt idx="103">
                  <c:v>123835</c:v>
                </c:pt>
                <c:pt idx="104">
                  <c:v>123840</c:v>
                </c:pt>
                <c:pt idx="105">
                  <c:v>123845</c:v>
                </c:pt>
                <c:pt idx="106">
                  <c:v>123850</c:v>
                </c:pt>
                <c:pt idx="107">
                  <c:v>123855</c:v>
                </c:pt>
                <c:pt idx="108">
                  <c:v>123900</c:v>
                </c:pt>
                <c:pt idx="109">
                  <c:v>123905</c:v>
                </c:pt>
                <c:pt idx="110">
                  <c:v>123910</c:v>
                </c:pt>
                <c:pt idx="111">
                  <c:v>123915</c:v>
                </c:pt>
                <c:pt idx="112">
                  <c:v>123920</c:v>
                </c:pt>
                <c:pt idx="113">
                  <c:v>123925</c:v>
                </c:pt>
                <c:pt idx="114">
                  <c:v>123930</c:v>
                </c:pt>
                <c:pt idx="115">
                  <c:v>123935</c:v>
                </c:pt>
                <c:pt idx="116">
                  <c:v>123940</c:v>
                </c:pt>
                <c:pt idx="117">
                  <c:v>123945</c:v>
                </c:pt>
                <c:pt idx="118">
                  <c:v>123950</c:v>
                </c:pt>
                <c:pt idx="119">
                  <c:v>123955</c:v>
                </c:pt>
                <c:pt idx="120">
                  <c:v>124000</c:v>
                </c:pt>
                <c:pt idx="121">
                  <c:v>124005</c:v>
                </c:pt>
                <c:pt idx="122">
                  <c:v>124010</c:v>
                </c:pt>
                <c:pt idx="123">
                  <c:v>124015</c:v>
                </c:pt>
                <c:pt idx="124">
                  <c:v>124020</c:v>
                </c:pt>
                <c:pt idx="125">
                  <c:v>124025</c:v>
                </c:pt>
                <c:pt idx="126">
                  <c:v>124030</c:v>
                </c:pt>
                <c:pt idx="127">
                  <c:v>124035</c:v>
                </c:pt>
                <c:pt idx="128">
                  <c:v>124040</c:v>
                </c:pt>
                <c:pt idx="129">
                  <c:v>124045</c:v>
                </c:pt>
                <c:pt idx="130">
                  <c:v>124050</c:v>
                </c:pt>
                <c:pt idx="131">
                  <c:v>124055</c:v>
                </c:pt>
                <c:pt idx="132">
                  <c:v>124100</c:v>
                </c:pt>
                <c:pt idx="133">
                  <c:v>124105</c:v>
                </c:pt>
                <c:pt idx="134">
                  <c:v>124110</c:v>
                </c:pt>
                <c:pt idx="135">
                  <c:v>124115</c:v>
                </c:pt>
                <c:pt idx="136">
                  <c:v>124120</c:v>
                </c:pt>
                <c:pt idx="137">
                  <c:v>124125</c:v>
                </c:pt>
                <c:pt idx="138">
                  <c:v>124130</c:v>
                </c:pt>
                <c:pt idx="139">
                  <c:v>124135</c:v>
                </c:pt>
                <c:pt idx="140">
                  <c:v>124140</c:v>
                </c:pt>
                <c:pt idx="141">
                  <c:v>124145</c:v>
                </c:pt>
                <c:pt idx="142">
                  <c:v>124150</c:v>
                </c:pt>
                <c:pt idx="143">
                  <c:v>124155</c:v>
                </c:pt>
                <c:pt idx="144">
                  <c:v>124200</c:v>
                </c:pt>
                <c:pt idx="145">
                  <c:v>124205</c:v>
                </c:pt>
                <c:pt idx="146">
                  <c:v>124210</c:v>
                </c:pt>
                <c:pt idx="147">
                  <c:v>124215</c:v>
                </c:pt>
                <c:pt idx="148">
                  <c:v>124220</c:v>
                </c:pt>
                <c:pt idx="149">
                  <c:v>124225</c:v>
                </c:pt>
                <c:pt idx="150">
                  <c:v>124230</c:v>
                </c:pt>
                <c:pt idx="151">
                  <c:v>124235</c:v>
                </c:pt>
                <c:pt idx="152">
                  <c:v>124240</c:v>
                </c:pt>
                <c:pt idx="153">
                  <c:v>124245</c:v>
                </c:pt>
                <c:pt idx="154">
                  <c:v>124250</c:v>
                </c:pt>
                <c:pt idx="155">
                  <c:v>124255</c:v>
                </c:pt>
                <c:pt idx="156">
                  <c:v>124300</c:v>
                </c:pt>
                <c:pt idx="157">
                  <c:v>124305</c:v>
                </c:pt>
                <c:pt idx="158">
                  <c:v>124310</c:v>
                </c:pt>
                <c:pt idx="159">
                  <c:v>124315</c:v>
                </c:pt>
                <c:pt idx="160">
                  <c:v>124320</c:v>
                </c:pt>
                <c:pt idx="161">
                  <c:v>124325</c:v>
                </c:pt>
                <c:pt idx="162">
                  <c:v>124330</c:v>
                </c:pt>
                <c:pt idx="163">
                  <c:v>124335</c:v>
                </c:pt>
                <c:pt idx="164">
                  <c:v>124340</c:v>
                </c:pt>
                <c:pt idx="165">
                  <c:v>124345</c:v>
                </c:pt>
                <c:pt idx="166">
                  <c:v>124350</c:v>
                </c:pt>
                <c:pt idx="167">
                  <c:v>124355</c:v>
                </c:pt>
                <c:pt idx="168">
                  <c:v>124400</c:v>
                </c:pt>
                <c:pt idx="169">
                  <c:v>124405</c:v>
                </c:pt>
                <c:pt idx="170">
                  <c:v>124410</c:v>
                </c:pt>
                <c:pt idx="171">
                  <c:v>124415</c:v>
                </c:pt>
                <c:pt idx="172">
                  <c:v>124420</c:v>
                </c:pt>
                <c:pt idx="173">
                  <c:v>124425</c:v>
                </c:pt>
                <c:pt idx="174">
                  <c:v>124430</c:v>
                </c:pt>
                <c:pt idx="175">
                  <c:v>124435</c:v>
                </c:pt>
                <c:pt idx="176">
                  <c:v>124440</c:v>
                </c:pt>
                <c:pt idx="177">
                  <c:v>124445</c:v>
                </c:pt>
                <c:pt idx="178">
                  <c:v>124450</c:v>
                </c:pt>
                <c:pt idx="179">
                  <c:v>124455</c:v>
                </c:pt>
                <c:pt idx="180">
                  <c:v>124500</c:v>
                </c:pt>
                <c:pt idx="181">
                  <c:v>124505</c:v>
                </c:pt>
                <c:pt idx="182">
                  <c:v>124510</c:v>
                </c:pt>
                <c:pt idx="183">
                  <c:v>124515</c:v>
                </c:pt>
                <c:pt idx="184">
                  <c:v>124520</c:v>
                </c:pt>
                <c:pt idx="185">
                  <c:v>124525</c:v>
                </c:pt>
                <c:pt idx="186">
                  <c:v>124530</c:v>
                </c:pt>
                <c:pt idx="187">
                  <c:v>124535</c:v>
                </c:pt>
                <c:pt idx="188">
                  <c:v>124540</c:v>
                </c:pt>
                <c:pt idx="189">
                  <c:v>124545</c:v>
                </c:pt>
                <c:pt idx="190">
                  <c:v>124550</c:v>
                </c:pt>
                <c:pt idx="191">
                  <c:v>124555</c:v>
                </c:pt>
                <c:pt idx="192">
                  <c:v>124600</c:v>
                </c:pt>
                <c:pt idx="193">
                  <c:v>124605</c:v>
                </c:pt>
                <c:pt idx="194">
                  <c:v>124610</c:v>
                </c:pt>
                <c:pt idx="195">
                  <c:v>124615</c:v>
                </c:pt>
                <c:pt idx="196">
                  <c:v>124620</c:v>
                </c:pt>
                <c:pt idx="197">
                  <c:v>124625</c:v>
                </c:pt>
                <c:pt idx="198">
                  <c:v>124630</c:v>
                </c:pt>
                <c:pt idx="199">
                  <c:v>124635</c:v>
                </c:pt>
                <c:pt idx="200">
                  <c:v>124640</c:v>
                </c:pt>
                <c:pt idx="201">
                  <c:v>124645</c:v>
                </c:pt>
                <c:pt idx="202">
                  <c:v>124650</c:v>
                </c:pt>
                <c:pt idx="203">
                  <c:v>124655</c:v>
                </c:pt>
                <c:pt idx="204">
                  <c:v>124700</c:v>
                </c:pt>
                <c:pt idx="205">
                  <c:v>124705</c:v>
                </c:pt>
                <c:pt idx="206">
                  <c:v>124710</c:v>
                </c:pt>
                <c:pt idx="207">
                  <c:v>124715</c:v>
                </c:pt>
                <c:pt idx="208">
                  <c:v>124720</c:v>
                </c:pt>
                <c:pt idx="209">
                  <c:v>124725</c:v>
                </c:pt>
                <c:pt idx="210">
                  <c:v>124730</c:v>
                </c:pt>
                <c:pt idx="211">
                  <c:v>124735</c:v>
                </c:pt>
                <c:pt idx="212">
                  <c:v>124740</c:v>
                </c:pt>
                <c:pt idx="213">
                  <c:v>124745</c:v>
                </c:pt>
                <c:pt idx="214">
                  <c:v>124750</c:v>
                </c:pt>
                <c:pt idx="215">
                  <c:v>124755</c:v>
                </c:pt>
                <c:pt idx="216">
                  <c:v>124800</c:v>
                </c:pt>
                <c:pt idx="217">
                  <c:v>124805</c:v>
                </c:pt>
                <c:pt idx="218">
                  <c:v>124810</c:v>
                </c:pt>
                <c:pt idx="219">
                  <c:v>124815</c:v>
                </c:pt>
                <c:pt idx="220">
                  <c:v>124820</c:v>
                </c:pt>
                <c:pt idx="221">
                  <c:v>124825</c:v>
                </c:pt>
                <c:pt idx="222">
                  <c:v>124830</c:v>
                </c:pt>
                <c:pt idx="223">
                  <c:v>124835</c:v>
                </c:pt>
                <c:pt idx="224">
                  <c:v>124840</c:v>
                </c:pt>
                <c:pt idx="225">
                  <c:v>124845</c:v>
                </c:pt>
                <c:pt idx="226">
                  <c:v>124850</c:v>
                </c:pt>
                <c:pt idx="227">
                  <c:v>124855</c:v>
                </c:pt>
                <c:pt idx="228">
                  <c:v>124900</c:v>
                </c:pt>
                <c:pt idx="229">
                  <c:v>124905</c:v>
                </c:pt>
                <c:pt idx="230">
                  <c:v>124910</c:v>
                </c:pt>
                <c:pt idx="231">
                  <c:v>124915</c:v>
                </c:pt>
                <c:pt idx="232">
                  <c:v>124920</c:v>
                </c:pt>
                <c:pt idx="233">
                  <c:v>124925</c:v>
                </c:pt>
                <c:pt idx="234">
                  <c:v>124930</c:v>
                </c:pt>
                <c:pt idx="235">
                  <c:v>124935</c:v>
                </c:pt>
                <c:pt idx="236">
                  <c:v>124940</c:v>
                </c:pt>
                <c:pt idx="237">
                  <c:v>124945</c:v>
                </c:pt>
                <c:pt idx="238">
                  <c:v>124950</c:v>
                </c:pt>
                <c:pt idx="239">
                  <c:v>124955</c:v>
                </c:pt>
                <c:pt idx="240">
                  <c:v>125000</c:v>
                </c:pt>
                <c:pt idx="241">
                  <c:v>125005</c:v>
                </c:pt>
                <c:pt idx="242">
                  <c:v>125010</c:v>
                </c:pt>
                <c:pt idx="243">
                  <c:v>125015</c:v>
                </c:pt>
                <c:pt idx="244">
                  <c:v>125020</c:v>
                </c:pt>
                <c:pt idx="245">
                  <c:v>125025</c:v>
                </c:pt>
                <c:pt idx="246">
                  <c:v>125030</c:v>
                </c:pt>
                <c:pt idx="247">
                  <c:v>125035</c:v>
                </c:pt>
                <c:pt idx="248">
                  <c:v>125040</c:v>
                </c:pt>
                <c:pt idx="249">
                  <c:v>125045</c:v>
                </c:pt>
                <c:pt idx="250">
                  <c:v>125050</c:v>
                </c:pt>
                <c:pt idx="251">
                  <c:v>125055</c:v>
                </c:pt>
                <c:pt idx="252">
                  <c:v>125100</c:v>
                </c:pt>
                <c:pt idx="253">
                  <c:v>125105</c:v>
                </c:pt>
                <c:pt idx="254">
                  <c:v>125110</c:v>
                </c:pt>
                <c:pt idx="255">
                  <c:v>125115</c:v>
                </c:pt>
                <c:pt idx="256">
                  <c:v>125120</c:v>
                </c:pt>
                <c:pt idx="257">
                  <c:v>125125</c:v>
                </c:pt>
                <c:pt idx="258">
                  <c:v>125130</c:v>
                </c:pt>
                <c:pt idx="259">
                  <c:v>125135</c:v>
                </c:pt>
                <c:pt idx="260">
                  <c:v>125140</c:v>
                </c:pt>
                <c:pt idx="261">
                  <c:v>125145</c:v>
                </c:pt>
                <c:pt idx="262">
                  <c:v>125150</c:v>
                </c:pt>
                <c:pt idx="263">
                  <c:v>125155</c:v>
                </c:pt>
                <c:pt idx="264">
                  <c:v>125200</c:v>
                </c:pt>
                <c:pt idx="265">
                  <c:v>125205</c:v>
                </c:pt>
                <c:pt idx="266">
                  <c:v>125210</c:v>
                </c:pt>
                <c:pt idx="267">
                  <c:v>125215</c:v>
                </c:pt>
                <c:pt idx="268">
                  <c:v>125220</c:v>
                </c:pt>
                <c:pt idx="269">
                  <c:v>125225</c:v>
                </c:pt>
                <c:pt idx="270">
                  <c:v>125230</c:v>
                </c:pt>
                <c:pt idx="271">
                  <c:v>125235</c:v>
                </c:pt>
                <c:pt idx="272">
                  <c:v>125240</c:v>
                </c:pt>
                <c:pt idx="273">
                  <c:v>125245</c:v>
                </c:pt>
                <c:pt idx="274">
                  <c:v>125250</c:v>
                </c:pt>
                <c:pt idx="275">
                  <c:v>125255</c:v>
                </c:pt>
                <c:pt idx="276">
                  <c:v>125300</c:v>
                </c:pt>
                <c:pt idx="277">
                  <c:v>125305</c:v>
                </c:pt>
                <c:pt idx="278">
                  <c:v>125310</c:v>
                </c:pt>
                <c:pt idx="279">
                  <c:v>125315</c:v>
                </c:pt>
                <c:pt idx="280">
                  <c:v>125320</c:v>
                </c:pt>
                <c:pt idx="281">
                  <c:v>125325</c:v>
                </c:pt>
                <c:pt idx="282">
                  <c:v>125330</c:v>
                </c:pt>
                <c:pt idx="283">
                  <c:v>125335</c:v>
                </c:pt>
                <c:pt idx="284">
                  <c:v>125340</c:v>
                </c:pt>
                <c:pt idx="285">
                  <c:v>125345</c:v>
                </c:pt>
                <c:pt idx="286">
                  <c:v>125350</c:v>
                </c:pt>
                <c:pt idx="287">
                  <c:v>125355</c:v>
                </c:pt>
                <c:pt idx="288">
                  <c:v>125400</c:v>
                </c:pt>
                <c:pt idx="289">
                  <c:v>125405</c:v>
                </c:pt>
                <c:pt idx="290">
                  <c:v>125410</c:v>
                </c:pt>
                <c:pt idx="291">
                  <c:v>125415</c:v>
                </c:pt>
                <c:pt idx="292">
                  <c:v>125420</c:v>
                </c:pt>
                <c:pt idx="293">
                  <c:v>125425</c:v>
                </c:pt>
                <c:pt idx="294">
                  <c:v>125430</c:v>
                </c:pt>
                <c:pt idx="295">
                  <c:v>125435</c:v>
                </c:pt>
                <c:pt idx="296">
                  <c:v>125440</c:v>
                </c:pt>
                <c:pt idx="297">
                  <c:v>125445</c:v>
                </c:pt>
                <c:pt idx="298">
                  <c:v>125450</c:v>
                </c:pt>
                <c:pt idx="299">
                  <c:v>125455</c:v>
                </c:pt>
                <c:pt idx="300">
                  <c:v>125500</c:v>
                </c:pt>
                <c:pt idx="301">
                  <c:v>125505</c:v>
                </c:pt>
                <c:pt idx="302">
                  <c:v>125510</c:v>
                </c:pt>
                <c:pt idx="303">
                  <c:v>125515</c:v>
                </c:pt>
                <c:pt idx="304">
                  <c:v>125520</c:v>
                </c:pt>
                <c:pt idx="305">
                  <c:v>125525</c:v>
                </c:pt>
                <c:pt idx="306">
                  <c:v>125530</c:v>
                </c:pt>
                <c:pt idx="307">
                  <c:v>125535</c:v>
                </c:pt>
                <c:pt idx="308">
                  <c:v>125540</c:v>
                </c:pt>
                <c:pt idx="309">
                  <c:v>125545</c:v>
                </c:pt>
                <c:pt idx="310">
                  <c:v>125550</c:v>
                </c:pt>
                <c:pt idx="311">
                  <c:v>125555</c:v>
                </c:pt>
                <c:pt idx="312">
                  <c:v>125600</c:v>
                </c:pt>
                <c:pt idx="313">
                  <c:v>125605</c:v>
                </c:pt>
                <c:pt idx="314">
                  <c:v>125610</c:v>
                </c:pt>
                <c:pt idx="315">
                  <c:v>125615</c:v>
                </c:pt>
                <c:pt idx="316">
                  <c:v>125620</c:v>
                </c:pt>
                <c:pt idx="317">
                  <c:v>125625</c:v>
                </c:pt>
                <c:pt idx="318">
                  <c:v>125630</c:v>
                </c:pt>
                <c:pt idx="319">
                  <c:v>125635</c:v>
                </c:pt>
                <c:pt idx="320">
                  <c:v>125640</c:v>
                </c:pt>
                <c:pt idx="321">
                  <c:v>125645</c:v>
                </c:pt>
                <c:pt idx="322">
                  <c:v>125650</c:v>
                </c:pt>
                <c:pt idx="323">
                  <c:v>125655</c:v>
                </c:pt>
                <c:pt idx="324">
                  <c:v>125700</c:v>
                </c:pt>
                <c:pt idx="325">
                  <c:v>125705</c:v>
                </c:pt>
                <c:pt idx="326">
                  <c:v>125710</c:v>
                </c:pt>
                <c:pt idx="327">
                  <c:v>125715</c:v>
                </c:pt>
                <c:pt idx="328">
                  <c:v>125720</c:v>
                </c:pt>
                <c:pt idx="329">
                  <c:v>125725</c:v>
                </c:pt>
                <c:pt idx="330">
                  <c:v>125730</c:v>
                </c:pt>
                <c:pt idx="331">
                  <c:v>125735</c:v>
                </c:pt>
                <c:pt idx="332">
                  <c:v>125740</c:v>
                </c:pt>
                <c:pt idx="333">
                  <c:v>125745</c:v>
                </c:pt>
                <c:pt idx="334">
                  <c:v>125750</c:v>
                </c:pt>
                <c:pt idx="335">
                  <c:v>125755</c:v>
                </c:pt>
                <c:pt idx="336">
                  <c:v>125800</c:v>
                </c:pt>
                <c:pt idx="337">
                  <c:v>125805</c:v>
                </c:pt>
                <c:pt idx="338">
                  <c:v>125810</c:v>
                </c:pt>
                <c:pt idx="339">
                  <c:v>125815</c:v>
                </c:pt>
                <c:pt idx="340">
                  <c:v>125820</c:v>
                </c:pt>
                <c:pt idx="341">
                  <c:v>125825</c:v>
                </c:pt>
                <c:pt idx="342">
                  <c:v>125830</c:v>
                </c:pt>
                <c:pt idx="343">
                  <c:v>125835</c:v>
                </c:pt>
                <c:pt idx="344">
                  <c:v>125840</c:v>
                </c:pt>
                <c:pt idx="345">
                  <c:v>125845</c:v>
                </c:pt>
                <c:pt idx="346">
                  <c:v>125850</c:v>
                </c:pt>
                <c:pt idx="347">
                  <c:v>125855</c:v>
                </c:pt>
                <c:pt idx="348">
                  <c:v>125900</c:v>
                </c:pt>
                <c:pt idx="349">
                  <c:v>125905</c:v>
                </c:pt>
                <c:pt idx="350">
                  <c:v>125910</c:v>
                </c:pt>
                <c:pt idx="351">
                  <c:v>125915</c:v>
                </c:pt>
                <c:pt idx="352">
                  <c:v>125920</c:v>
                </c:pt>
                <c:pt idx="353">
                  <c:v>125925</c:v>
                </c:pt>
                <c:pt idx="354">
                  <c:v>125930</c:v>
                </c:pt>
                <c:pt idx="355">
                  <c:v>125935</c:v>
                </c:pt>
                <c:pt idx="356">
                  <c:v>125940</c:v>
                </c:pt>
                <c:pt idx="357">
                  <c:v>125945</c:v>
                </c:pt>
                <c:pt idx="358">
                  <c:v>125950</c:v>
                </c:pt>
                <c:pt idx="359">
                  <c:v>125955</c:v>
                </c:pt>
                <c:pt idx="360">
                  <c:v>130000</c:v>
                </c:pt>
                <c:pt idx="361">
                  <c:v>130005</c:v>
                </c:pt>
                <c:pt idx="362">
                  <c:v>130010</c:v>
                </c:pt>
                <c:pt idx="363">
                  <c:v>130015</c:v>
                </c:pt>
                <c:pt idx="364">
                  <c:v>130020</c:v>
                </c:pt>
                <c:pt idx="365">
                  <c:v>130025</c:v>
                </c:pt>
                <c:pt idx="366">
                  <c:v>130030</c:v>
                </c:pt>
                <c:pt idx="367">
                  <c:v>130035</c:v>
                </c:pt>
                <c:pt idx="368">
                  <c:v>130040</c:v>
                </c:pt>
                <c:pt idx="369">
                  <c:v>130045</c:v>
                </c:pt>
                <c:pt idx="370">
                  <c:v>130050</c:v>
                </c:pt>
                <c:pt idx="371">
                  <c:v>130055</c:v>
                </c:pt>
                <c:pt idx="372">
                  <c:v>130100</c:v>
                </c:pt>
                <c:pt idx="373">
                  <c:v>130105</c:v>
                </c:pt>
                <c:pt idx="374">
                  <c:v>130110</c:v>
                </c:pt>
                <c:pt idx="375">
                  <c:v>130115</c:v>
                </c:pt>
                <c:pt idx="376">
                  <c:v>130120</c:v>
                </c:pt>
                <c:pt idx="377">
                  <c:v>130125</c:v>
                </c:pt>
                <c:pt idx="378">
                  <c:v>130130</c:v>
                </c:pt>
                <c:pt idx="379">
                  <c:v>130135</c:v>
                </c:pt>
                <c:pt idx="380">
                  <c:v>130140</c:v>
                </c:pt>
                <c:pt idx="381">
                  <c:v>130145</c:v>
                </c:pt>
                <c:pt idx="382">
                  <c:v>130150</c:v>
                </c:pt>
                <c:pt idx="383">
                  <c:v>130155</c:v>
                </c:pt>
                <c:pt idx="384">
                  <c:v>130200</c:v>
                </c:pt>
                <c:pt idx="385">
                  <c:v>130205</c:v>
                </c:pt>
                <c:pt idx="386">
                  <c:v>130210</c:v>
                </c:pt>
                <c:pt idx="387">
                  <c:v>130215</c:v>
                </c:pt>
                <c:pt idx="388">
                  <c:v>130220</c:v>
                </c:pt>
                <c:pt idx="389">
                  <c:v>130225</c:v>
                </c:pt>
                <c:pt idx="390">
                  <c:v>130230</c:v>
                </c:pt>
                <c:pt idx="391">
                  <c:v>130235</c:v>
                </c:pt>
                <c:pt idx="392">
                  <c:v>130240</c:v>
                </c:pt>
                <c:pt idx="393">
                  <c:v>130245</c:v>
                </c:pt>
                <c:pt idx="394">
                  <c:v>130250</c:v>
                </c:pt>
                <c:pt idx="395">
                  <c:v>130255</c:v>
                </c:pt>
                <c:pt idx="396">
                  <c:v>130300</c:v>
                </c:pt>
                <c:pt idx="397">
                  <c:v>130305</c:v>
                </c:pt>
                <c:pt idx="398">
                  <c:v>130310</c:v>
                </c:pt>
                <c:pt idx="399">
                  <c:v>130315</c:v>
                </c:pt>
                <c:pt idx="400">
                  <c:v>130320</c:v>
                </c:pt>
                <c:pt idx="401">
                  <c:v>130325</c:v>
                </c:pt>
                <c:pt idx="402">
                  <c:v>130330</c:v>
                </c:pt>
                <c:pt idx="403">
                  <c:v>130335</c:v>
                </c:pt>
                <c:pt idx="404">
                  <c:v>130340</c:v>
                </c:pt>
                <c:pt idx="405">
                  <c:v>130345</c:v>
                </c:pt>
                <c:pt idx="406">
                  <c:v>130350</c:v>
                </c:pt>
                <c:pt idx="407">
                  <c:v>130355</c:v>
                </c:pt>
                <c:pt idx="408">
                  <c:v>130400</c:v>
                </c:pt>
                <c:pt idx="409">
                  <c:v>130405</c:v>
                </c:pt>
                <c:pt idx="410">
                  <c:v>130410</c:v>
                </c:pt>
                <c:pt idx="411">
                  <c:v>130415</c:v>
                </c:pt>
                <c:pt idx="412">
                  <c:v>130420</c:v>
                </c:pt>
                <c:pt idx="413">
                  <c:v>130425</c:v>
                </c:pt>
                <c:pt idx="414">
                  <c:v>130430</c:v>
                </c:pt>
                <c:pt idx="415">
                  <c:v>130435</c:v>
                </c:pt>
                <c:pt idx="416">
                  <c:v>130440</c:v>
                </c:pt>
                <c:pt idx="417">
                  <c:v>130445</c:v>
                </c:pt>
                <c:pt idx="418">
                  <c:v>130450</c:v>
                </c:pt>
                <c:pt idx="419">
                  <c:v>130455</c:v>
                </c:pt>
                <c:pt idx="420">
                  <c:v>130500</c:v>
                </c:pt>
                <c:pt idx="421">
                  <c:v>130505</c:v>
                </c:pt>
                <c:pt idx="422">
                  <c:v>130510</c:v>
                </c:pt>
                <c:pt idx="423">
                  <c:v>130515</c:v>
                </c:pt>
                <c:pt idx="424">
                  <c:v>130520</c:v>
                </c:pt>
                <c:pt idx="425">
                  <c:v>130525</c:v>
                </c:pt>
                <c:pt idx="426">
                  <c:v>130530</c:v>
                </c:pt>
                <c:pt idx="427">
                  <c:v>130535</c:v>
                </c:pt>
                <c:pt idx="428">
                  <c:v>130540</c:v>
                </c:pt>
                <c:pt idx="429">
                  <c:v>130545</c:v>
                </c:pt>
                <c:pt idx="430">
                  <c:v>130550</c:v>
                </c:pt>
                <c:pt idx="431">
                  <c:v>130555</c:v>
                </c:pt>
                <c:pt idx="432">
                  <c:v>130600</c:v>
                </c:pt>
                <c:pt idx="433">
                  <c:v>130605</c:v>
                </c:pt>
                <c:pt idx="434">
                  <c:v>130610</c:v>
                </c:pt>
                <c:pt idx="435">
                  <c:v>130615</c:v>
                </c:pt>
                <c:pt idx="436">
                  <c:v>130620</c:v>
                </c:pt>
                <c:pt idx="437">
                  <c:v>130625</c:v>
                </c:pt>
                <c:pt idx="438">
                  <c:v>130630</c:v>
                </c:pt>
                <c:pt idx="439">
                  <c:v>130635</c:v>
                </c:pt>
                <c:pt idx="440">
                  <c:v>130640</c:v>
                </c:pt>
                <c:pt idx="441">
                  <c:v>130645</c:v>
                </c:pt>
                <c:pt idx="442">
                  <c:v>130650</c:v>
                </c:pt>
                <c:pt idx="443">
                  <c:v>130655</c:v>
                </c:pt>
                <c:pt idx="444">
                  <c:v>130700</c:v>
                </c:pt>
                <c:pt idx="445">
                  <c:v>130705</c:v>
                </c:pt>
                <c:pt idx="446">
                  <c:v>130710</c:v>
                </c:pt>
                <c:pt idx="447">
                  <c:v>130715</c:v>
                </c:pt>
                <c:pt idx="448">
                  <c:v>130720</c:v>
                </c:pt>
                <c:pt idx="449">
                  <c:v>130725</c:v>
                </c:pt>
                <c:pt idx="450">
                  <c:v>130730</c:v>
                </c:pt>
                <c:pt idx="451">
                  <c:v>130735</c:v>
                </c:pt>
                <c:pt idx="452">
                  <c:v>130740</c:v>
                </c:pt>
                <c:pt idx="453">
                  <c:v>130745</c:v>
                </c:pt>
                <c:pt idx="454">
                  <c:v>130750</c:v>
                </c:pt>
                <c:pt idx="455">
                  <c:v>130755</c:v>
                </c:pt>
                <c:pt idx="456">
                  <c:v>130800</c:v>
                </c:pt>
                <c:pt idx="457">
                  <c:v>130805</c:v>
                </c:pt>
                <c:pt idx="458">
                  <c:v>130810</c:v>
                </c:pt>
                <c:pt idx="459">
                  <c:v>130815</c:v>
                </c:pt>
                <c:pt idx="460">
                  <c:v>130820</c:v>
                </c:pt>
                <c:pt idx="461">
                  <c:v>130825</c:v>
                </c:pt>
                <c:pt idx="462">
                  <c:v>130830</c:v>
                </c:pt>
                <c:pt idx="463">
                  <c:v>130835</c:v>
                </c:pt>
                <c:pt idx="464">
                  <c:v>130840</c:v>
                </c:pt>
                <c:pt idx="465">
                  <c:v>130845</c:v>
                </c:pt>
                <c:pt idx="466">
                  <c:v>130850</c:v>
                </c:pt>
                <c:pt idx="467">
                  <c:v>130855</c:v>
                </c:pt>
                <c:pt idx="468">
                  <c:v>130900</c:v>
                </c:pt>
                <c:pt idx="469">
                  <c:v>130905</c:v>
                </c:pt>
                <c:pt idx="470">
                  <c:v>130910</c:v>
                </c:pt>
                <c:pt idx="471">
                  <c:v>130915</c:v>
                </c:pt>
                <c:pt idx="472">
                  <c:v>130920</c:v>
                </c:pt>
                <c:pt idx="473">
                  <c:v>130925</c:v>
                </c:pt>
                <c:pt idx="474">
                  <c:v>130930</c:v>
                </c:pt>
                <c:pt idx="475">
                  <c:v>130935</c:v>
                </c:pt>
                <c:pt idx="476">
                  <c:v>130940</c:v>
                </c:pt>
                <c:pt idx="477">
                  <c:v>130945</c:v>
                </c:pt>
                <c:pt idx="478">
                  <c:v>130950</c:v>
                </c:pt>
                <c:pt idx="479">
                  <c:v>130955</c:v>
                </c:pt>
                <c:pt idx="480">
                  <c:v>131000</c:v>
                </c:pt>
                <c:pt idx="481">
                  <c:v>131005</c:v>
                </c:pt>
                <c:pt idx="482">
                  <c:v>131010</c:v>
                </c:pt>
                <c:pt idx="483">
                  <c:v>131015</c:v>
                </c:pt>
                <c:pt idx="484">
                  <c:v>131020</c:v>
                </c:pt>
                <c:pt idx="485">
                  <c:v>131025</c:v>
                </c:pt>
                <c:pt idx="486">
                  <c:v>131030</c:v>
                </c:pt>
                <c:pt idx="487">
                  <c:v>131035</c:v>
                </c:pt>
                <c:pt idx="488">
                  <c:v>131040</c:v>
                </c:pt>
                <c:pt idx="489">
                  <c:v>131045</c:v>
                </c:pt>
                <c:pt idx="490">
                  <c:v>131050</c:v>
                </c:pt>
                <c:pt idx="491">
                  <c:v>131055</c:v>
                </c:pt>
                <c:pt idx="492">
                  <c:v>131100</c:v>
                </c:pt>
                <c:pt idx="493">
                  <c:v>131105</c:v>
                </c:pt>
                <c:pt idx="494">
                  <c:v>131110</c:v>
                </c:pt>
                <c:pt idx="495">
                  <c:v>131115</c:v>
                </c:pt>
                <c:pt idx="496">
                  <c:v>131120</c:v>
                </c:pt>
                <c:pt idx="497">
                  <c:v>131125</c:v>
                </c:pt>
                <c:pt idx="498">
                  <c:v>131130</c:v>
                </c:pt>
                <c:pt idx="499">
                  <c:v>131135</c:v>
                </c:pt>
                <c:pt idx="500">
                  <c:v>131140</c:v>
                </c:pt>
                <c:pt idx="501">
                  <c:v>131145</c:v>
                </c:pt>
                <c:pt idx="502">
                  <c:v>131150</c:v>
                </c:pt>
                <c:pt idx="503">
                  <c:v>131155</c:v>
                </c:pt>
                <c:pt idx="504">
                  <c:v>131200</c:v>
                </c:pt>
                <c:pt idx="505">
                  <c:v>131205</c:v>
                </c:pt>
                <c:pt idx="506">
                  <c:v>131210</c:v>
                </c:pt>
                <c:pt idx="507">
                  <c:v>131215</c:v>
                </c:pt>
                <c:pt idx="508">
                  <c:v>131220</c:v>
                </c:pt>
                <c:pt idx="509">
                  <c:v>131225</c:v>
                </c:pt>
                <c:pt idx="510">
                  <c:v>131230</c:v>
                </c:pt>
                <c:pt idx="511">
                  <c:v>131235</c:v>
                </c:pt>
                <c:pt idx="512">
                  <c:v>131240</c:v>
                </c:pt>
                <c:pt idx="513">
                  <c:v>131245</c:v>
                </c:pt>
                <c:pt idx="514">
                  <c:v>131250</c:v>
                </c:pt>
                <c:pt idx="515">
                  <c:v>131255</c:v>
                </c:pt>
                <c:pt idx="516">
                  <c:v>131300</c:v>
                </c:pt>
                <c:pt idx="517">
                  <c:v>131305</c:v>
                </c:pt>
                <c:pt idx="518">
                  <c:v>131310</c:v>
                </c:pt>
                <c:pt idx="519">
                  <c:v>131315</c:v>
                </c:pt>
                <c:pt idx="520">
                  <c:v>131320</c:v>
                </c:pt>
                <c:pt idx="521">
                  <c:v>131325</c:v>
                </c:pt>
                <c:pt idx="522">
                  <c:v>131330</c:v>
                </c:pt>
                <c:pt idx="523">
                  <c:v>131335</c:v>
                </c:pt>
                <c:pt idx="524">
                  <c:v>131340</c:v>
                </c:pt>
                <c:pt idx="525">
                  <c:v>131345</c:v>
                </c:pt>
                <c:pt idx="526">
                  <c:v>131350</c:v>
                </c:pt>
                <c:pt idx="527">
                  <c:v>131355</c:v>
                </c:pt>
                <c:pt idx="528">
                  <c:v>131400</c:v>
                </c:pt>
                <c:pt idx="529">
                  <c:v>131405</c:v>
                </c:pt>
                <c:pt idx="530">
                  <c:v>131410</c:v>
                </c:pt>
                <c:pt idx="531">
                  <c:v>131415</c:v>
                </c:pt>
                <c:pt idx="532">
                  <c:v>131420</c:v>
                </c:pt>
                <c:pt idx="533">
                  <c:v>131425</c:v>
                </c:pt>
                <c:pt idx="534">
                  <c:v>131430</c:v>
                </c:pt>
                <c:pt idx="535">
                  <c:v>131435</c:v>
                </c:pt>
                <c:pt idx="536">
                  <c:v>131440</c:v>
                </c:pt>
                <c:pt idx="537">
                  <c:v>131445</c:v>
                </c:pt>
                <c:pt idx="538">
                  <c:v>131450</c:v>
                </c:pt>
                <c:pt idx="539">
                  <c:v>131455</c:v>
                </c:pt>
                <c:pt idx="540">
                  <c:v>131500</c:v>
                </c:pt>
                <c:pt idx="541">
                  <c:v>131505</c:v>
                </c:pt>
                <c:pt idx="542">
                  <c:v>131510</c:v>
                </c:pt>
                <c:pt idx="543">
                  <c:v>131515</c:v>
                </c:pt>
                <c:pt idx="544">
                  <c:v>131520</c:v>
                </c:pt>
                <c:pt idx="545">
                  <c:v>131525</c:v>
                </c:pt>
                <c:pt idx="546">
                  <c:v>131530</c:v>
                </c:pt>
                <c:pt idx="547">
                  <c:v>131535</c:v>
                </c:pt>
                <c:pt idx="548">
                  <c:v>131540</c:v>
                </c:pt>
                <c:pt idx="549">
                  <c:v>131545</c:v>
                </c:pt>
                <c:pt idx="550">
                  <c:v>131550</c:v>
                </c:pt>
                <c:pt idx="551">
                  <c:v>131555</c:v>
                </c:pt>
                <c:pt idx="552">
                  <c:v>131600</c:v>
                </c:pt>
                <c:pt idx="553">
                  <c:v>131605</c:v>
                </c:pt>
                <c:pt idx="554">
                  <c:v>131610</c:v>
                </c:pt>
                <c:pt idx="555">
                  <c:v>131615</c:v>
                </c:pt>
                <c:pt idx="556">
                  <c:v>131620</c:v>
                </c:pt>
                <c:pt idx="557">
                  <c:v>131625</c:v>
                </c:pt>
                <c:pt idx="558">
                  <c:v>131630</c:v>
                </c:pt>
                <c:pt idx="559">
                  <c:v>131635</c:v>
                </c:pt>
                <c:pt idx="560">
                  <c:v>131640</c:v>
                </c:pt>
                <c:pt idx="561">
                  <c:v>131645</c:v>
                </c:pt>
                <c:pt idx="562">
                  <c:v>131650</c:v>
                </c:pt>
                <c:pt idx="563">
                  <c:v>131655</c:v>
                </c:pt>
                <c:pt idx="564">
                  <c:v>131700</c:v>
                </c:pt>
                <c:pt idx="565">
                  <c:v>131705</c:v>
                </c:pt>
                <c:pt idx="566">
                  <c:v>131710</c:v>
                </c:pt>
                <c:pt idx="567">
                  <c:v>131715</c:v>
                </c:pt>
                <c:pt idx="568">
                  <c:v>131720</c:v>
                </c:pt>
                <c:pt idx="569">
                  <c:v>131725</c:v>
                </c:pt>
                <c:pt idx="570">
                  <c:v>131730</c:v>
                </c:pt>
                <c:pt idx="571">
                  <c:v>131735</c:v>
                </c:pt>
                <c:pt idx="572">
                  <c:v>131740</c:v>
                </c:pt>
                <c:pt idx="573">
                  <c:v>131745</c:v>
                </c:pt>
                <c:pt idx="574">
                  <c:v>131750</c:v>
                </c:pt>
                <c:pt idx="575">
                  <c:v>131755</c:v>
                </c:pt>
                <c:pt idx="576">
                  <c:v>131800</c:v>
                </c:pt>
                <c:pt idx="577">
                  <c:v>131805</c:v>
                </c:pt>
                <c:pt idx="578">
                  <c:v>131810</c:v>
                </c:pt>
                <c:pt idx="579">
                  <c:v>131815</c:v>
                </c:pt>
                <c:pt idx="580">
                  <c:v>131820</c:v>
                </c:pt>
                <c:pt idx="581">
                  <c:v>131825</c:v>
                </c:pt>
                <c:pt idx="582">
                  <c:v>131830</c:v>
                </c:pt>
                <c:pt idx="583">
                  <c:v>131835</c:v>
                </c:pt>
                <c:pt idx="584">
                  <c:v>131840</c:v>
                </c:pt>
                <c:pt idx="585">
                  <c:v>131845</c:v>
                </c:pt>
                <c:pt idx="586">
                  <c:v>131850</c:v>
                </c:pt>
                <c:pt idx="587">
                  <c:v>131855</c:v>
                </c:pt>
                <c:pt idx="588">
                  <c:v>131900</c:v>
                </c:pt>
                <c:pt idx="589">
                  <c:v>131905</c:v>
                </c:pt>
                <c:pt idx="590">
                  <c:v>131910</c:v>
                </c:pt>
                <c:pt idx="591">
                  <c:v>131915</c:v>
                </c:pt>
                <c:pt idx="592">
                  <c:v>131920</c:v>
                </c:pt>
                <c:pt idx="593">
                  <c:v>131925</c:v>
                </c:pt>
                <c:pt idx="594">
                  <c:v>131930</c:v>
                </c:pt>
                <c:pt idx="595">
                  <c:v>131935</c:v>
                </c:pt>
                <c:pt idx="596">
                  <c:v>131940</c:v>
                </c:pt>
                <c:pt idx="597">
                  <c:v>131945</c:v>
                </c:pt>
                <c:pt idx="598">
                  <c:v>131950</c:v>
                </c:pt>
                <c:pt idx="599">
                  <c:v>131955</c:v>
                </c:pt>
                <c:pt idx="600">
                  <c:v>132000</c:v>
                </c:pt>
                <c:pt idx="601">
                  <c:v>132005</c:v>
                </c:pt>
                <c:pt idx="602">
                  <c:v>132010</c:v>
                </c:pt>
                <c:pt idx="603">
                  <c:v>132015</c:v>
                </c:pt>
                <c:pt idx="604">
                  <c:v>132020</c:v>
                </c:pt>
                <c:pt idx="605">
                  <c:v>132025</c:v>
                </c:pt>
                <c:pt idx="606">
                  <c:v>132030</c:v>
                </c:pt>
                <c:pt idx="607">
                  <c:v>132035</c:v>
                </c:pt>
                <c:pt idx="608">
                  <c:v>132040</c:v>
                </c:pt>
                <c:pt idx="609">
                  <c:v>132045</c:v>
                </c:pt>
                <c:pt idx="610">
                  <c:v>132050</c:v>
                </c:pt>
                <c:pt idx="611">
                  <c:v>132055</c:v>
                </c:pt>
                <c:pt idx="612">
                  <c:v>132100</c:v>
                </c:pt>
                <c:pt idx="613">
                  <c:v>132105</c:v>
                </c:pt>
                <c:pt idx="614">
                  <c:v>132110</c:v>
                </c:pt>
                <c:pt idx="615">
                  <c:v>132115</c:v>
                </c:pt>
                <c:pt idx="616">
                  <c:v>132120</c:v>
                </c:pt>
                <c:pt idx="617">
                  <c:v>132125</c:v>
                </c:pt>
                <c:pt idx="618">
                  <c:v>132130</c:v>
                </c:pt>
                <c:pt idx="619">
                  <c:v>132135</c:v>
                </c:pt>
                <c:pt idx="620">
                  <c:v>132140</c:v>
                </c:pt>
                <c:pt idx="621">
                  <c:v>132145</c:v>
                </c:pt>
                <c:pt idx="622">
                  <c:v>132150</c:v>
                </c:pt>
                <c:pt idx="623">
                  <c:v>132155</c:v>
                </c:pt>
                <c:pt idx="624">
                  <c:v>132200</c:v>
                </c:pt>
                <c:pt idx="625">
                  <c:v>132205</c:v>
                </c:pt>
                <c:pt idx="626">
                  <c:v>132210</c:v>
                </c:pt>
                <c:pt idx="627">
                  <c:v>132215</c:v>
                </c:pt>
                <c:pt idx="628">
                  <c:v>132220</c:v>
                </c:pt>
                <c:pt idx="629">
                  <c:v>132225</c:v>
                </c:pt>
                <c:pt idx="630">
                  <c:v>132230</c:v>
                </c:pt>
                <c:pt idx="631">
                  <c:v>132235</c:v>
                </c:pt>
                <c:pt idx="632">
                  <c:v>132240</c:v>
                </c:pt>
                <c:pt idx="633">
                  <c:v>132245</c:v>
                </c:pt>
                <c:pt idx="634">
                  <c:v>132250</c:v>
                </c:pt>
                <c:pt idx="635">
                  <c:v>132255</c:v>
                </c:pt>
                <c:pt idx="636">
                  <c:v>132300</c:v>
                </c:pt>
                <c:pt idx="637">
                  <c:v>132305</c:v>
                </c:pt>
                <c:pt idx="638">
                  <c:v>132310</c:v>
                </c:pt>
                <c:pt idx="639">
                  <c:v>132315</c:v>
                </c:pt>
                <c:pt idx="640">
                  <c:v>132320</c:v>
                </c:pt>
                <c:pt idx="641">
                  <c:v>132325</c:v>
                </c:pt>
                <c:pt idx="642">
                  <c:v>132330</c:v>
                </c:pt>
                <c:pt idx="643">
                  <c:v>132335</c:v>
                </c:pt>
                <c:pt idx="644">
                  <c:v>132340</c:v>
                </c:pt>
                <c:pt idx="645">
                  <c:v>132345</c:v>
                </c:pt>
                <c:pt idx="646">
                  <c:v>132350</c:v>
                </c:pt>
                <c:pt idx="647">
                  <c:v>132355</c:v>
                </c:pt>
                <c:pt idx="648">
                  <c:v>132400</c:v>
                </c:pt>
                <c:pt idx="649">
                  <c:v>132405</c:v>
                </c:pt>
                <c:pt idx="650">
                  <c:v>132410</c:v>
                </c:pt>
                <c:pt idx="651">
                  <c:v>132415</c:v>
                </c:pt>
                <c:pt idx="652">
                  <c:v>132420</c:v>
                </c:pt>
                <c:pt idx="653">
                  <c:v>132425</c:v>
                </c:pt>
                <c:pt idx="654">
                  <c:v>132430</c:v>
                </c:pt>
                <c:pt idx="655">
                  <c:v>132435</c:v>
                </c:pt>
                <c:pt idx="656">
                  <c:v>132440</c:v>
                </c:pt>
                <c:pt idx="657">
                  <c:v>132445</c:v>
                </c:pt>
                <c:pt idx="658">
                  <c:v>132450</c:v>
                </c:pt>
                <c:pt idx="659">
                  <c:v>132455</c:v>
                </c:pt>
                <c:pt idx="660">
                  <c:v>133100</c:v>
                </c:pt>
              </c:numCache>
            </c:numRef>
          </c:cat>
          <c:val>
            <c:numRef>
              <c:f>結算估價!$H$7:$H$666</c:f>
              <c:numCache>
                <c:formatCode>General</c:formatCode>
                <c:ptCount val="660"/>
                <c:pt idx="0">
                  <c:v>1920</c:v>
                </c:pt>
                <c:pt idx="1">
                  <c:v>1920</c:v>
                </c:pt>
                <c:pt idx="2">
                  <c:v>1920</c:v>
                </c:pt>
                <c:pt idx="3">
                  <c:v>1920</c:v>
                </c:pt>
                <c:pt idx="4">
                  <c:v>1920</c:v>
                </c:pt>
                <c:pt idx="5">
                  <c:v>1915</c:v>
                </c:pt>
                <c:pt idx="6">
                  <c:v>1920</c:v>
                </c:pt>
                <c:pt idx="7">
                  <c:v>1920</c:v>
                </c:pt>
                <c:pt idx="8">
                  <c:v>1920</c:v>
                </c:pt>
                <c:pt idx="9">
                  <c:v>1920</c:v>
                </c:pt>
                <c:pt idx="10">
                  <c:v>1920</c:v>
                </c:pt>
                <c:pt idx="11">
                  <c:v>1920</c:v>
                </c:pt>
                <c:pt idx="12">
                  <c:v>1920</c:v>
                </c:pt>
                <c:pt idx="13">
                  <c:v>1920</c:v>
                </c:pt>
                <c:pt idx="14">
                  <c:v>1920</c:v>
                </c:pt>
                <c:pt idx="15">
                  <c:v>1920</c:v>
                </c:pt>
                <c:pt idx="16">
                  <c:v>1920</c:v>
                </c:pt>
                <c:pt idx="17">
                  <c:v>1920</c:v>
                </c:pt>
                <c:pt idx="18">
                  <c:v>1915</c:v>
                </c:pt>
                <c:pt idx="19">
                  <c:v>1920</c:v>
                </c:pt>
                <c:pt idx="20">
                  <c:v>1920</c:v>
                </c:pt>
                <c:pt idx="21">
                  <c:v>1920</c:v>
                </c:pt>
                <c:pt idx="22">
                  <c:v>1920</c:v>
                </c:pt>
                <c:pt idx="23">
                  <c:v>1920</c:v>
                </c:pt>
                <c:pt idx="24">
                  <c:v>1920</c:v>
                </c:pt>
                <c:pt idx="25">
                  <c:v>1920</c:v>
                </c:pt>
                <c:pt idx="26">
                  <c:v>1920</c:v>
                </c:pt>
                <c:pt idx="27">
                  <c:v>1920</c:v>
                </c:pt>
                <c:pt idx="28">
                  <c:v>1915</c:v>
                </c:pt>
                <c:pt idx="29">
                  <c:v>1920</c:v>
                </c:pt>
                <c:pt idx="30">
                  <c:v>1915</c:v>
                </c:pt>
                <c:pt idx="31">
                  <c:v>1920</c:v>
                </c:pt>
                <c:pt idx="32">
                  <c:v>1915</c:v>
                </c:pt>
                <c:pt idx="33">
                  <c:v>1920</c:v>
                </c:pt>
                <c:pt idx="34">
                  <c:v>1915</c:v>
                </c:pt>
                <c:pt idx="35">
                  <c:v>1920</c:v>
                </c:pt>
                <c:pt idx="36">
                  <c:v>1920</c:v>
                </c:pt>
                <c:pt idx="37">
                  <c:v>1915</c:v>
                </c:pt>
                <c:pt idx="38">
                  <c:v>1915</c:v>
                </c:pt>
                <c:pt idx="39">
                  <c:v>1920</c:v>
                </c:pt>
                <c:pt idx="40">
                  <c:v>1920</c:v>
                </c:pt>
                <c:pt idx="41">
                  <c:v>1920</c:v>
                </c:pt>
                <c:pt idx="42">
                  <c:v>1920</c:v>
                </c:pt>
                <c:pt idx="43">
                  <c:v>1920</c:v>
                </c:pt>
                <c:pt idx="44">
                  <c:v>1920</c:v>
                </c:pt>
                <c:pt idx="45">
                  <c:v>1920</c:v>
                </c:pt>
                <c:pt idx="46">
                  <c:v>1920</c:v>
                </c:pt>
                <c:pt idx="47">
                  <c:v>1920</c:v>
                </c:pt>
                <c:pt idx="48">
                  <c:v>1920</c:v>
                </c:pt>
                <c:pt idx="49">
                  <c:v>1920</c:v>
                </c:pt>
                <c:pt idx="50">
                  <c:v>1915</c:v>
                </c:pt>
                <c:pt idx="51">
                  <c:v>1920</c:v>
                </c:pt>
                <c:pt idx="52">
                  <c:v>1915</c:v>
                </c:pt>
                <c:pt idx="53">
                  <c:v>1920</c:v>
                </c:pt>
                <c:pt idx="54">
                  <c:v>1915</c:v>
                </c:pt>
                <c:pt idx="55">
                  <c:v>1920</c:v>
                </c:pt>
                <c:pt idx="56">
                  <c:v>1920</c:v>
                </c:pt>
                <c:pt idx="57">
                  <c:v>1915</c:v>
                </c:pt>
                <c:pt idx="58">
                  <c:v>1915</c:v>
                </c:pt>
                <c:pt idx="59">
                  <c:v>1920</c:v>
                </c:pt>
                <c:pt idx="60">
                  <c:v>1915</c:v>
                </c:pt>
                <c:pt idx="61">
                  <c:v>1920</c:v>
                </c:pt>
                <c:pt idx="62">
                  <c:v>1920</c:v>
                </c:pt>
                <c:pt idx="63">
                  <c:v>1920</c:v>
                </c:pt>
                <c:pt idx="64">
                  <c:v>1920</c:v>
                </c:pt>
                <c:pt idx="65">
                  <c:v>1920</c:v>
                </c:pt>
                <c:pt idx="66">
                  <c:v>1915</c:v>
                </c:pt>
                <c:pt idx="67">
                  <c:v>1920</c:v>
                </c:pt>
                <c:pt idx="68">
                  <c:v>1920</c:v>
                </c:pt>
                <c:pt idx="69">
                  <c:v>1920</c:v>
                </c:pt>
                <c:pt idx="70">
                  <c:v>1920</c:v>
                </c:pt>
                <c:pt idx="71">
                  <c:v>1920</c:v>
                </c:pt>
                <c:pt idx="72">
                  <c:v>1915</c:v>
                </c:pt>
                <c:pt idx="73">
                  <c:v>1920</c:v>
                </c:pt>
                <c:pt idx="74">
                  <c:v>1915</c:v>
                </c:pt>
                <c:pt idx="75">
                  <c:v>1915</c:v>
                </c:pt>
                <c:pt idx="76">
                  <c:v>1920</c:v>
                </c:pt>
                <c:pt idx="77">
                  <c:v>1915</c:v>
                </c:pt>
                <c:pt idx="78">
                  <c:v>1920</c:v>
                </c:pt>
                <c:pt idx="79">
                  <c:v>1915</c:v>
                </c:pt>
                <c:pt idx="80">
                  <c:v>1915</c:v>
                </c:pt>
                <c:pt idx="81">
                  <c:v>1920</c:v>
                </c:pt>
                <c:pt idx="82">
                  <c:v>1920</c:v>
                </c:pt>
                <c:pt idx="83">
                  <c:v>1920</c:v>
                </c:pt>
                <c:pt idx="84">
                  <c:v>1920</c:v>
                </c:pt>
                <c:pt idx="85">
                  <c:v>1920</c:v>
                </c:pt>
                <c:pt idx="86">
                  <c:v>1915</c:v>
                </c:pt>
                <c:pt idx="87">
                  <c:v>1920</c:v>
                </c:pt>
                <c:pt idx="88">
                  <c:v>1920</c:v>
                </c:pt>
                <c:pt idx="89">
                  <c:v>1920</c:v>
                </c:pt>
                <c:pt idx="90">
                  <c:v>1920</c:v>
                </c:pt>
                <c:pt idx="91">
                  <c:v>1920</c:v>
                </c:pt>
                <c:pt idx="92">
                  <c:v>1920</c:v>
                </c:pt>
                <c:pt idx="93">
                  <c:v>1920</c:v>
                </c:pt>
                <c:pt idx="94">
                  <c:v>1920</c:v>
                </c:pt>
                <c:pt idx="95">
                  <c:v>1920</c:v>
                </c:pt>
                <c:pt idx="96">
                  <c:v>1920</c:v>
                </c:pt>
                <c:pt idx="97">
                  <c:v>1920</c:v>
                </c:pt>
                <c:pt idx="98">
                  <c:v>1920</c:v>
                </c:pt>
                <c:pt idx="99">
                  <c:v>1920</c:v>
                </c:pt>
                <c:pt idx="100">
                  <c:v>1920</c:v>
                </c:pt>
                <c:pt idx="101">
                  <c:v>1915</c:v>
                </c:pt>
                <c:pt idx="102">
                  <c:v>1920</c:v>
                </c:pt>
                <c:pt idx="103">
                  <c:v>1920</c:v>
                </c:pt>
                <c:pt idx="104">
                  <c:v>1920</c:v>
                </c:pt>
                <c:pt idx="105">
                  <c:v>1915</c:v>
                </c:pt>
                <c:pt idx="106">
                  <c:v>1920</c:v>
                </c:pt>
                <c:pt idx="107">
                  <c:v>1920</c:v>
                </c:pt>
                <c:pt idx="108">
                  <c:v>1920</c:v>
                </c:pt>
                <c:pt idx="109">
                  <c:v>1915</c:v>
                </c:pt>
                <c:pt idx="110">
                  <c:v>1920</c:v>
                </c:pt>
                <c:pt idx="111">
                  <c:v>1920</c:v>
                </c:pt>
                <c:pt idx="112">
                  <c:v>1915</c:v>
                </c:pt>
                <c:pt idx="113">
                  <c:v>1920</c:v>
                </c:pt>
                <c:pt idx="114">
                  <c:v>1920</c:v>
                </c:pt>
                <c:pt idx="115">
                  <c:v>1920</c:v>
                </c:pt>
                <c:pt idx="116">
                  <c:v>1915</c:v>
                </c:pt>
                <c:pt idx="117">
                  <c:v>1915</c:v>
                </c:pt>
                <c:pt idx="118">
                  <c:v>1915</c:v>
                </c:pt>
                <c:pt idx="119">
                  <c:v>1920</c:v>
                </c:pt>
                <c:pt idx="120">
                  <c:v>1920</c:v>
                </c:pt>
                <c:pt idx="121">
                  <c:v>1920</c:v>
                </c:pt>
                <c:pt idx="122">
                  <c:v>1920</c:v>
                </c:pt>
                <c:pt idx="123">
                  <c:v>1920</c:v>
                </c:pt>
                <c:pt idx="124">
                  <c:v>1915</c:v>
                </c:pt>
                <c:pt idx="125">
                  <c:v>1920</c:v>
                </c:pt>
                <c:pt idx="126">
                  <c:v>1920</c:v>
                </c:pt>
                <c:pt idx="127">
                  <c:v>1920</c:v>
                </c:pt>
                <c:pt idx="128">
                  <c:v>1920</c:v>
                </c:pt>
                <c:pt idx="129">
                  <c:v>1915</c:v>
                </c:pt>
                <c:pt idx="130">
                  <c:v>1915</c:v>
                </c:pt>
                <c:pt idx="131">
                  <c:v>1920</c:v>
                </c:pt>
                <c:pt idx="132">
                  <c:v>1915</c:v>
                </c:pt>
                <c:pt idx="133">
                  <c:v>1920</c:v>
                </c:pt>
                <c:pt idx="134">
                  <c:v>1920</c:v>
                </c:pt>
                <c:pt idx="135">
                  <c:v>1915</c:v>
                </c:pt>
                <c:pt idx="136">
                  <c:v>1915</c:v>
                </c:pt>
                <c:pt idx="137">
                  <c:v>1920</c:v>
                </c:pt>
                <c:pt idx="138">
                  <c:v>1920</c:v>
                </c:pt>
                <c:pt idx="139">
                  <c:v>1920</c:v>
                </c:pt>
                <c:pt idx="140">
                  <c:v>1920</c:v>
                </c:pt>
                <c:pt idx="141">
                  <c:v>1920</c:v>
                </c:pt>
                <c:pt idx="142">
                  <c:v>1920</c:v>
                </c:pt>
                <c:pt idx="143">
                  <c:v>1920</c:v>
                </c:pt>
                <c:pt idx="144">
                  <c:v>1920</c:v>
                </c:pt>
                <c:pt idx="145">
                  <c:v>1920</c:v>
                </c:pt>
                <c:pt idx="146">
                  <c:v>1920</c:v>
                </c:pt>
                <c:pt idx="147">
                  <c:v>1915</c:v>
                </c:pt>
                <c:pt idx="148">
                  <c:v>1920</c:v>
                </c:pt>
                <c:pt idx="149">
                  <c:v>1915</c:v>
                </c:pt>
                <c:pt idx="150">
                  <c:v>1920</c:v>
                </c:pt>
                <c:pt idx="151">
                  <c:v>1920</c:v>
                </c:pt>
                <c:pt idx="152">
                  <c:v>1920</c:v>
                </c:pt>
                <c:pt idx="153">
                  <c:v>1920</c:v>
                </c:pt>
                <c:pt idx="154">
                  <c:v>1920</c:v>
                </c:pt>
                <c:pt idx="155">
                  <c:v>1920</c:v>
                </c:pt>
                <c:pt idx="156">
                  <c:v>1920</c:v>
                </c:pt>
                <c:pt idx="157">
                  <c:v>1920</c:v>
                </c:pt>
                <c:pt idx="158">
                  <c:v>1920</c:v>
                </c:pt>
                <c:pt idx="159">
                  <c:v>1920</c:v>
                </c:pt>
                <c:pt idx="160">
                  <c:v>1920</c:v>
                </c:pt>
                <c:pt idx="161">
                  <c:v>1915</c:v>
                </c:pt>
                <c:pt idx="162">
                  <c:v>1915</c:v>
                </c:pt>
                <c:pt idx="163">
                  <c:v>1920</c:v>
                </c:pt>
                <c:pt idx="164">
                  <c:v>1915</c:v>
                </c:pt>
                <c:pt idx="165">
                  <c:v>1920</c:v>
                </c:pt>
                <c:pt idx="166">
                  <c:v>1920</c:v>
                </c:pt>
                <c:pt idx="167">
                  <c:v>1915</c:v>
                </c:pt>
                <c:pt idx="168">
                  <c:v>1915</c:v>
                </c:pt>
                <c:pt idx="169">
                  <c:v>1920</c:v>
                </c:pt>
                <c:pt idx="170">
                  <c:v>1915</c:v>
                </c:pt>
                <c:pt idx="171">
                  <c:v>1915</c:v>
                </c:pt>
                <c:pt idx="172">
                  <c:v>1920</c:v>
                </c:pt>
                <c:pt idx="173">
                  <c:v>1915</c:v>
                </c:pt>
                <c:pt idx="174">
                  <c:v>1920</c:v>
                </c:pt>
                <c:pt idx="175">
                  <c:v>1920</c:v>
                </c:pt>
                <c:pt idx="176">
                  <c:v>1920</c:v>
                </c:pt>
                <c:pt idx="177">
                  <c:v>1915</c:v>
                </c:pt>
                <c:pt idx="178">
                  <c:v>1920</c:v>
                </c:pt>
                <c:pt idx="179">
                  <c:v>1920</c:v>
                </c:pt>
                <c:pt idx="180">
                  <c:v>1920</c:v>
                </c:pt>
                <c:pt idx="181">
                  <c:v>1920</c:v>
                </c:pt>
                <c:pt idx="182">
                  <c:v>1920</c:v>
                </c:pt>
                <c:pt idx="183">
                  <c:v>1920</c:v>
                </c:pt>
                <c:pt idx="184">
                  <c:v>1915</c:v>
                </c:pt>
                <c:pt idx="185">
                  <c:v>1915</c:v>
                </c:pt>
                <c:pt idx="186">
                  <c:v>1920</c:v>
                </c:pt>
                <c:pt idx="187">
                  <c:v>1920</c:v>
                </c:pt>
                <c:pt idx="188">
                  <c:v>1915</c:v>
                </c:pt>
                <c:pt idx="189">
                  <c:v>1920</c:v>
                </c:pt>
                <c:pt idx="190">
                  <c:v>1920</c:v>
                </c:pt>
                <c:pt idx="191">
                  <c:v>1920</c:v>
                </c:pt>
                <c:pt idx="192">
                  <c:v>1915</c:v>
                </c:pt>
                <c:pt idx="193">
                  <c:v>1920</c:v>
                </c:pt>
                <c:pt idx="194">
                  <c:v>1920</c:v>
                </c:pt>
                <c:pt idx="195">
                  <c:v>1920</c:v>
                </c:pt>
                <c:pt idx="196">
                  <c:v>1920</c:v>
                </c:pt>
                <c:pt idx="197">
                  <c:v>1915</c:v>
                </c:pt>
                <c:pt idx="198">
                  <c:v>1920</c:v>
                </c:pt>
                <c:pt idx="199">
                  <c:v>1920</c:v>
                </c:pt>
                <c:pt idx="200">
                  <c:v>1920</c:v>
                </c:pt>
                <c:pt idx="201">
                  <c:v>1920</c:v>
                </c:pt>
                <c:pt idx="202">
                  <c:v>1920</c:v>
                </c:pt>
                <c:pt idx="203">
                  <c:v>1920</c:v>
                </c:pt>
                <c:pt idx="204">
                  <c:v>1920</c:v>
                </c:pt>
                <c:pt idx="205">
                  <c:v>1920</c:v>
                </c:pt>
                <c:pt idx="206">
                  <c:v>1915</c:v>
                </c:pt>
                <c:pt idx="207">
                  <c:v>1920</c:v>
                </c:pt>
                <c:pt idx="208">
                  <c:v>1920</c:v>
                </c:pt>
                <c:pt idx="209">
                  <c:v>1920</c:v>
                </c:pt>
                <c:pt idx="210">
                  <c:v>1920</c:v>
                </c:pt>
                <c:pt idx="211">
                  <c:v>1915</c:v>
                </c:pt>
                <c:pt idx="212">
                  <c:v>1915</c:v>
                </c:pt>
                <c:pt idx="213">
                  <c:v>1920</c:v>
                </c:pt>
                <c:pt idx="214">
                  <c:v>1915</c:v>
                </c:pt>
                <c:pt idx="215">
                  <c:v>1920</c:v>
                </c:pt>
                <c:pt idx="216">
                  <c:v>1920</c:v>
                </c:pt>
                <c:pt idx="217">
                  <c:v>1915</c:v>
                </c:pt>
                <c:pt idx="218">
                  <c:v>1915</c:v>
                </c:pt>
                <c:pt idx="219">
                  <c:v>1920</c:v>
                </c:pt>
                <c:pt idx="220">
                  <c:v>1915</c:v>
                </c:pt>
                <c:pt idx="221">
                  <c:v>1920</c:v>
                </c:pt>
                <c:pt idx="222">
                  <c:v>1920</c:v>
                </c:pt>
                <c:pt idx="223">
                  <c:v>1915</c:v>
                </c:pt>
                <c:pt idx="224">
                  <c:v>1920</c:v>
                </c:pt>
                <c:pt idx="225">
                  <c:v>1920</c:v>
                </c:pt>
                <c:pt idx="226">
                  <c:v>1920</c:v>
                </c:pt>
                <c:pt idx="227">
                  <c:v>1920</c:v>
                </c:pt>
                <c:pt idx="228">
                  <c:v>1920</c:v>
                </c:pt>
                <c:pt idx="229">
                  <c:v>1915</c:v>
                </c:pt>
                <c:pt idx="230">
                  <c:v>1920</c:v>
                </c:pt>
                <c:pt idx="231">
                  <c:v>1920</c:v>
                </c:pt>
                <c:pt idx="232">
                  <c:v>1920</c:v>
                </c:pt>
                <c:pt idx="233">
                  <c:v>1920</c:v>
                </c:pt>
                <c:pt idx="234">
                  <c:v>1920</c:v>
                </c:pt>
                <c:pt idx="235">
                  <c:v>1915</c:v>
                </c:pt>
                <c:pt idx="236">
                  <c:v>1920</c:v>
                </c:pt>
                <c:pt idx="237">
                  <c:v>1920</c:v>
                </c:pt>
                <c:pt idx="238">
                  <c:v>1920</c:v>
                </c:pt>
                <c:pt idx="239">
                  <c:v>1920</c:v>
                </c:pt>
                <c:pt idx="240">
                  <c:v>1920</c:v>
                </c:pt>
                <c:pt idx="241">
                  <c:v>1920</c:v>
                </c:pt>
                <c:pt idx="242">
                  <c:v>1915</c:v>
                </c:pt>
                <c:pt idx="243">
                  <c:v>1920</c:v>
                </c:pt>
                <c:pt idx="244">
                  <c:v>1920</c:v>
                </c:pt>
                <c:pt idx="245">
                  <c:v>1920</c:v>
                </c:pt>
                <c:pt idx="246">
                  <c:v>1920</c:v>
                </c:pt>
                <c:pt idx="247">
                  <c:v>1920</c:v>
                </c:pt>
                <c:pt idx="248">
                  <c:v>1920</c:v>
                </c:pt>
                <c:pt idx="249">
                  <c:v>1920</c:v>
                </c:pt>
                <c:pt idx="250">
                  <c:v>1920</c:v>
                </c:pt>
                <c:pt idx="251">
                  <c:v>1920</c:v>
                </c:pt>
                <c:pt idx="252">
                  <c:v>1920</c:v>
                </c:pt>
                <c:pt idx="253">
                  <c:v>1920</c:v>
                </c:pt>
                <c:pt idx="254">
                  <c:v>1920</c:v>
                </c:pt>
                <c:pt idx="255">
                  <c:v>1920</c:v>
                </c:pt>
                <c:pt idx="256">
                  <c:v>1920</c:v>
                </c:pt>
                <c:pt idx="257">
                  <c:v>1920</c:v>
                </c:pt>
                <c:pt idx="258">
                  <c:v>1920</c:v>
                </c:pt>
                <c:pt idx="259">
                  <c:v>1920</c:v>
                </c:pt>
                <c:pt idx="260">
                  <c:v>1920</c:v>
                </c:pt>
                <c:pt idx="261">
                  <c:v>1920</c:v>
                </c:pt>
                <c:pt idx="262">
                  <c:v>1915</c:v>
                </c:pt>
                <c:pt idx="263">
                  <c:v>1920</c:v>
                </c:pt>
                <c:pt idx="264">
                  <c:v>1920</c:v>
                </c:pt>
                <c:pt idx="265">
                  <c:v>1920</c:v>
                </c:pt>
                <c:pt idx="266">
                  <c:v>1920</c:v>
                </c:pt>
                <c:pt idx="267">
                  <c:v>1920</c:v>
                </c:pt>
                <c:pt idx="268">
                  <c:v>1920</c:v>
                </c:pt>
                <c:pt idx="269">
                  <c:v>1920</c:v>
                </c:pt>
                <c:pt idx="270">
                  <c:v>1920</c:v>
                </c:pt>
                <c:pt idx="271">
                  <c:v>1920</c:v>
                </c:pt>
                <c:pt idx="272">
                  <c:v>1920</c:v>
                </c:pt>
                <c:pt idx="273">
                  <c:v>1920</c:v>
                </c:pt>
                <c:pt idx="274">
                  <c:v>1920</c:v>
                </c:pt>
                <c:pt idx="275">
                  <c:v>1920</c:v>
                </c:pt>
                <c:pt idx="276">
                  <c:v>1920</c:v>
                </c:pt>
                <c:pt idx="277">
                  <c:v>1920</c:v>
                </c:pt>
                <c:pt idx="278">
                  <c:v>1920</c:v>
                </c:pt>
                <c:pt idx="279">
                  <c:v>1920</c:v>
                </c:pt>
                <c:pt idx="280">
                  <c:v>1915</c:v>
                </c:pt>
                <c:pt idx="281">
                  <c:v>1920</c:v>
                </c:pt>
                <c:pt idx="282">
                  <c:v>1920</c:v>
                </c:pt>
                <c:pt idx="283">
                  <c:v>1920</c:v>
                </c:pt>
                <c:pt idx="284">
                  <c:v>1920</c:v>
                </c:pt>
                <c:pt idx="285">
                  <c:v>1920</c:v>
                </c:pt>
                <c:pt idx="286">
                  <c:v>1920</c:v>
                </c:pt>
                <c:pt idx="287">
                  <c:v>1920</c:v>
                </c:pt>
                <c:pt idx="288">
                  <c:v>1920</c:v>
                </c:pt>
                <c:pt idx="289">
                  <c:v>1915</c:v>
                </c:pt>
                <c:pt idx="290">
                  <c:v>1920</c:v>
                </c:pt>
                <c:pt idx="291">
                  <c:v>1920</c:v>
                </c:pt>
                <c:pt idx="292">
                  <c:v>1920</c:v>
                </c:pt>
                <c:pt idx="293">
                  <c:v>1920</c:v>
                </c:pt>
                <c:pt idx="294">
                  <c:v>1920</c:v>
                </c:pt>
                <c:pt idx="295">
                  <c:v>1915</c:v>
                </c:pt>
                <c:pt idx="296">
                  <c:v>1920</c:v>
                </c:pt>
                <c:pt idx="297">
                  <c:v>1920</c:v>
                </c:pt>
                <c:pt idx="298">
                  <c:v>1915</c:v>
                </c:pt>
                <c:pt idx="299">
                  <c:v>1920</c:v>
                </c:pt>
                <c:pt idx="300">
                  <c:v>1920</c:v>
                </c:pt>
                <c:pt idx="301">
                  <c:v>1920</c:v>
                </c:pt>
                <c:pt idx="302">
                  <c:v>1920</c:v>
                </c:pt>
                <c:pt idx="303">
                  <c:v>1915</c:v>
                </c:pt>
                <c:pt idx="304">
                  <c:v>1920</c:v>
                </c:pt>
                <c:pt idx="305">
                  <c:v>1920</c:v>
                </c:pt>
                <c:pt idx="306">
                  <c:v>1920</c:v>
                </c:pt>
                <c:pt idx="307">
                  <c:v>1920</c:v>
                </c:pt>
                <c:pt idx="308">
                  <c:v>1920</c:v>
                </c:pt>
                <c:pt idx="309">
                  <c:v>1915</c:v>
                </c:pt>
                <c:pt idx="310">
                  <c:v>1920</c:v>
                </c:pt>
                <c:pt idx="311">
                  <c:v>1920</c:v>
                </c:pt>
                <c:pt idx="312">
                  <c:v>1920</c:v>
                </c:pt>
                <c:pt idx="313">
                  <c:v>1920</c:v>
                </c:pt>
                <c:pt idx="314">
                  <c:v>1920</c:v>
                </c:pt>
                <c:pt idx="315">
                  <c:v>1920</c:v>
                </c:pt>
                <c:pt idx="316">
                  <c:v>1915</c:v>
                </c:pt>
                <c:pt idx="317">
                  <c:v>1920</c:v>
                </c:pt>
                <c:pt idx="318">
                  <c:v>1920</c:v>
                </c:pt>
                <c:pt idx="319">
                  <c:v>1920</c:v>
                </c:pt>
                <c:pt idx="320">
                  <c:v>1920</c:v>
                </c:pt>
                <c:pt idx="321">
                  <c:v>1915</c:v>
                </c:pt>
                <c:pt idx="322">
                  <c:v>1915</c:v>
                </c:pt>
                <c:pt idx="323">
                  <c:v>1920</c:v>
                </c:pt>
                <c:pt idx="324">
                  <c:v>1920</c:v>
                </c:pt>
                <c:pt idx="325">
                  <c:v>1915</c:v>
                </c:pt>
                <c:pt idx="326">
                  <c:v>1915</c:v>
                </c:pt>
                <c:pt idx="327">
                  <c:v>1920</c:v>
                </c:pt>
                <c:pt idx="328">
                  <c:v>1920</c:v>
                </c:pt>
                <c:pt idx="329">
                  <c:v>1920</c:v>
                </c:pt>
                <c:pt idx="330">
                  <c:v>1920</c:v>
                </c:pt>
                <c:pt idx="331">
                  <c:v>1920</c:v>
                </c:pt>
                <c:pt idx="332">
                  <c:v>1920</c:v>
                </c:pt>
                <c:pt idx="333">
                  <c:v>1920</c:v>
                </c:pt>
                <c:pt idx="334">
                  <c:v>1920</c:v>
                </c:pt>
                <c:pt idx="335">
                  <c:v>1920</c:v>
                </c:pt>
                <c:pt idx="336">
                  <c:v>1920</c:v>
                </c:pt>
                <c:pt idx="337">
                  <c:v>1920</c:v>
                </c:pt>
                <c:pt idx="338">
                  <c:v>1915</c:v>
                </c:pt>
                <c:pt idx="339">
                  <c:v>1920</c:v>
                </c:pt>
                <c:pt idx="340">
                  <c:v>1920</c:v>
                </c:pt>
                <c:pt idx="341">
                  <c:v>1915</c:v>
                </c:pt>
                <c:pt idx="342">
                  <c:v>1920</c:v>
                </c:pt>
                <c:pt idx="343">
                  <c:v>1920</c:v>
                </c:pt>
                <c:pt idx="344">
                  <c:v>1915</c:v>
                </c:pt>
                <c:pt idx="345">
                  <c:v>1920</c:v>
                </c:pt>
                <c:pt idx="346">
                  <c:v>1920</c:v>
                </c:pt>
                <c:pt idx="347">
                  <c:v>1920</c:v>
                </c:pt>
                <c:pt idx="348">
                  <c:v>1920</c:v>
                </c:pt>
                <c:pt idx="349">
                  <c:v>1920</c:v>
                </c:pt>
                <c:pt idx="350">
                  <c:v>1920</c:v>
                </c:pt>
                <c:pt idx="351">
                  <c:v>1915</c:v>
                </c:pt>
                <c:pt idx="352">
                  <c:v>1920</c:v>
                </c:pt>
                <c:pt idx="353">
                  <c:v>1915</c:v>
                </c:pt>
                <c:pt idx="354">
                  <c:v>1920</c:v>
                </c:pt>
                <c:pt idx="355">
                  <c:v>1920</c:v>
                </c:pt>
                <c:pt idx="356">
                  <c:v>1915</c:v>
                </c:pt>
                <c:pt idx="357">
                  <c:v>1915</c:v>
                </c:pt>
                <c:pt idx="358">
                  <c:v>1920</c:v>
                </c:pt>
                <c:pt idx="359">
                  <c:v>1920</c:v>
                </c:pt>
                <c:pt idx="360">
                  <c:v>1915</c:v>
                </c:pt>
                <c:pt idx="361">
                  <c:v>1915</c:v>
                </c:pt>
                <c:pt idx="362">
                  <c:v>1915</c:v>
                </c:pt>
                <c:pt idx="363">
                  <c:v>1920</c:v>
                </c:pt>
                <c:pt idx="364">
                  <c:v>1920</c:v>
                </c:pt>
                <c:pt idx="365">
                  <c:v>1915</c:v>
                </c:pt>
                <c:pt idx="366">
                  <c:v>1915</c:v>
                </c:pt>
                <c:pt idx="367">
                  <c:v>1920</c:v>
                </c:pt>
                <c:pt idx="368">
                  <c:v>1915</c:v>
                </c:pt>
                <c:pt idx="369">
                  <c:v>1915</c:v>
                </c:pt>
                <c:pt idx="370">
                  <c:v>1920</c:v>
                </c:pt>
                <c:pt idx="371">
                  <c:v>1915</c:v>
                </c:pt>
                <c:pt idx="372">
                  <c:v>1915</c:v>
                </c:pt>
                <c:pt idx="373">
                  <c:v>1920</c:v>
                </c:pt>
                <c:pt idx="374">
                  <c:v>1915</c:v>
                </c:pt>
                <c:pt idx="375">
                  <c:v>1915</c:v>
                </c:pt>
                <c:pt idx="376">
                  <c:v>1920</c:v>
                </c:pt>
                <c:pt idx="377">
                  <c:v>1915</c:v>
                </c:pt>
                <c:pt idx="378">
                  <c:v>1915</c:v>
                </c:pt>
                <c:pt idx="379">
                  <c:v>1920</c:v>
                </c:pt>
                <c:pt idx="380">
                  <c:v>1915</c:v>
                </c:pt>
                <c:pt idx="381">
                  <c:v>1915</c:v>
                </c:pt>
                <c:pt idx="382">
                  <c:v>1920</c:v>
                </c:pt>
                <c:pt idx="383">
                  <c:v>1920</c:v>
                </c:pt>
                <c:pt idx="384">
                  <c:v>1915</c:v>
                </c:pt>
                <c:pt idx="385">
                  <c:v>1920</c:v>
                </c:pt>
                <c:pt idx="386">
                  <c:v>1915</c:v>
                </c:pt>
                <c:pt idx="387">
                  <c:v>1920</c:v>
                </c:pt>
                <c:pt idx="388">
                  <c:v>1920</c:v>
                </c:pt>
                <c:pt idx="389">
                  <c:v>1920</c:v>
                </c:pt>
                <c:pt idx="390">
                  <c:v>1915</c:v>
                </c:pt>
                <c:pt idx="391">
                  <c:v>1915</c:v>
                </c:pt>
                <c:pt idx="392">
                  <c:v>1915</c:v>
                </c:pt>
                <c:pt idx="393">
                  <c:v>1915</c:v>
                </c:pt>
                <c:pt idx="394">
                  <c:v>1915</c:v>
                </c:pt>
                <c:pt idx="395">
                  <c:v>1920</c:v>
                </c:pt>
                <c:pt idx="396">
                  <c:v>1915</c:v>
                </c:pt>
                <c:pt idx="397">
                  <c:v>1915</c:v>
                </c:pt>
                <c:pt idx="398">
                  <c:v>1915</c:v>
                </c:pt>
                <c:pt idx="399">
                  <c:v>1920</c:v>
                </c:pt>
                <c:pt idx="400">
                  <c:v>1915</c:v>
                </c:pt>
                <c:pt idx="401">
                  <c:v>1915</c:v>
                </c:pt>
                <c:pt idx="402">
                  <c:v>1915</c:v>
                </c:pt>
                <c:pt idx="403">
                  <c:v>1920</c:v>
                </c:pt>
                <c:pt idx="404">
                  <c:v>1915</c:v>
                </c:pt>
                <c:pt idx="405">
                  <c:v>1915</c:v>
                </c:pt>
                <c:pt idx="406">
                  <c:v>1915</c:v>
                </c:pt>
                <c:pt idx="407">
                  <c:v>1920</c:v>
                </c:pt>
                <c:pt idx="408">
                  <c:v>1915</c:v>
                </c:pt>
                <c:pt idx="409">
                  <c:v>1920</c:v>
                </c:pt>
                <c:pt idx="410">
                  <c:v>1915</c:v>
                </c:pt>
                <c:pt idx="411">
                  <c:v>1915</c:v>
                </c:pt>
                <c:pt idx="412">
                  <c:v>1915</c:v>
                </c:pt>
                <c:pt idx="413">
                  <c:v>1915</c:v>
                </c:pt>
                <c:pt idx="414">
                  <c:v>1915</c:v>
                </c:pt>
                <c:pt idx="415">
                  <c:v>1915</c:v>
                </c:pt>
                <c:pt idx="416">
                  <c:v>1915</c:v>
                </c:pt>
                <c:pt idx="417">
                  <c:v>1915</c:v>
                </c:pt>
                <c:pt idx="418">
                  <c:v>1920</c:v>
                </c:pt>
                <c:pt idx="419">
                  <c:v>1920</c:v>
                </c:pt>
                <c:pt idx="420">
                  <c:v>1915</c:v>
                </c:pt>
                <c:pt idx="421">
                  <c:v>1915</c:v>
                </c:pt>
                <c:pt idx="422">
                  <c:v>1915</c:v>
                </c:pt>
                <c:pt idx="423">
                  <c:v>1915</c:v>
                </c:pt>
                <c:pt idx="424">
                  <c:v>1915</c:v>
                </c:pt>
                <c:pt idx="425">
                  <c:v>1915</c:v>
                </c:pt>
                <c:pt idx="426">
                  <c:v>1915</c:v>
                </c:pt>
                <c:pt idx="427">
                  <c:v>1915</c:v>
                </c:pt>
                <c:pt idx="428">
                  <c:v>1915</c:v>
                </c:pt>
                <c:pt idx="429">
                  <c:v>1920</c:v>
                </c:pt>
                <c:pt idx="430">
                  <c:v>1915</c:v>
                </c:pt>
                <c:pt idx="431">
                  <c:v>1920</c:v>
                </c:pt>
                <c:pt idx="432">
                  <c:v>1915</c:v>
                </c:pt>
                <c:pt idx="433">
                  <c:v>1915</c:v>
                </c:pt>
                <c:pt idx="434">
                  <c:v>1915</c:v>
                </c:pt>
                <c:pt idx="435">
                  <c:v>1915</c:v>
                </c:pt>
                <c:pt idx="436">
                  <c:v>1915</c:v>
                </c:pt>
                <c:pt idx="437">
                  <c:v>1915</c:v>
                </c:pt>
                <c:pt idx="438">
                  <c:v>1920</c:v>
                </c:pt>
                <c:pt idx="439">
                  <c:v>1920</c:v>
                </c:pt>
                <c:pt idx="440">
                  <c:v>1915</c:v>
                </c:pt>
                <c:pt idx="441">
                  <c:v>1915</c:v>
                </c:pt>
                <c:pt idx="442">
                  <c:v>1920</c:v>
                </c:pt>
                <c:pt idx="443">
                  <c:v>1920</c:v>
                </c:pt>
                <c:pt idx="444">
                  <c:v>1920</c:v>
                </c:pt>
                <c:pt idx="445">
                  <c:v>1915</c:v>
                </c:pt>
                <c:pt idx="446">
                  <c:v>1915</c:v>
                </c:pt>
                <c:pt idx="447">
                  <c:v>1920</c:v>
                </c:pt>
                <c:pt idx="448">
                  <c:v>1915</c:v>
                </c:pt>
                <c:pt idx="449">
                  <c:v>1915</c:v>
                </c:pt>
                <c:pt idx="450">
                  <c:v>1915</c:v>
                </c:pt>
                <c:pt idx="451">
                  <c:v>1915</c:v>
                </c:pt>
                <c:pt idx="452">
                  <c:v>1915</c:v>
                </c:pt>
                <c:pt idx="453">
                  <c:v>1915</c:v>
                </c:pt>
                <c:pt idx="454">
                  <c:v>1915</c:v>
                </c:pt>
                <c:pt idx="455">
                  <c:v>1915</c:v>
                </c:pt>
                <c:pt idx="456">
                  <c:v>1910</c:v>
                </c:pt>
                <c:pt idx="457">
                  <c:v>1910</c:v>
                </c:pt>
                <c:pt idx="458">
                  <c:v>1910</c:v>
                </c:pt>
                <c:pt idx="459">
                  <c:v>1910</c:v>
                </c:pt>
                <c:pt idx="460">
                  <c:v>1910</c:v>
                </c:pt>
                <c:pt idx="461">
                  <c:v>1910</c:v>
                </c:pt>
                <c:pt idx="462">
                  <c:v>1910</c:v>
                </c:pt>
                <c:pt idx="463">
                  <c:v>1910</c:v>
                </c:pt>
                <c:pt idx="464">
                  <c:v>1910</c:v>
                </c:pt>
                <c:pt idx="465">
                  <c:v>1910</c:v>
                </c:pt>
                <c:pt idx="466">
                  <c:v>1910</c:v>
                </c:pt>
                <c:pt idx="467">
                  <c:v>1915</c:v>
                </c:pt>
                <c:pt idx="468">
                  <c:v>1915</c:v>
                </c:pt>
                <c:pt idx="469">
                  <c:v>1910</c:v>
                </c:pt>
                <c:pt idx="470">
                  <c:v>1910</c:v>
                </c:pt>
                <c:pt idx="471">
                  <c:v>1910</c:v>
                </c:pt>
                <c:pt idx="472">
                  <c:v>1910</c:v>
                </c:pt>
                <c:pt idx="473">
                  <c:v>1910</c:v>
                </c:pt>
                <c:pt idx="474">
                  <c:v>1910</c:v>
                </c:pt>
                <c:pt idx="475">
                  <c:v>1910</c:v>
                </c:pt>
                <c:pt idx="476">
                  <c:v>1910</c:v>
                </c:pt>
                <c:pt idx="477">
                  <c:v>1910</c:v>
                </c:pt>
                <c:pt idx="478">
                  <c:v>1910</c:v>
                </c:pt>
                <c:pt idx="479">
                  <c:v>1910</c:v>
                </c:pt>
                <c:pt idx="480">
                  <c:v>1910</c:v>
                </c:pt>
                <c:pt idx="481">
                  <c:v>1910</c:v>
                </c:pt>
                <c:pt idx="482">
                  <c:v>1910</c:v>
                </c:pt>
                <c:pt idx="483">
                  <c:v>1910</c:v>
                </c:pt>
                <c:pt idx="484">
                  <c:v>1910</c:v>
                </c:pt>
                <c:pt idx="485">
                  <c:v>1910</c:v>
                </c:pt>
                <c:pt idx="486">
                  <c:v>1910</c:v>
                </c:pt>
                <c:pt idx="487">
                  <c:v>1910</c:v>
                </c:pt>
                <c:pt idx="488">
                  <c:v>1910</c:v>
                </c:pt>
                <c:pt idx="489">
                  <c:v>1910</c:v>
                </c:pt>
                <c:pt idx="490">
                  <c:v>1910</c:v>
                </c:pt>
                <c:pt idx="491">
                  <c:v>1910</c:v>
                </c:pt>
                <c:pt idx="492">
                  <c:v>1910</c:v>
                </c:pt>
                <c:pt idx="493">
                  <c:v>1910</c:v>
                </c:pt>
                <c:pt idx="494">
                  <c:v>1915</c:v>
                </c:pt>
                <c:pt idx="495">
                  <c:v>1910</c:v>
                </c:pt>
                <c:pt idx="496">
                  <c:v>1910</c:v>
                </c:pt>
                <c:pt idx="497">
                  <c:v>1910</c:v>
                </c:pt>
                <c:pt idx="498">
                  <c:v>1910</c:v>
                </c:pt>
                <c:pt idx="499">
                  <c:v>1910</c:v>
                </c:pt>
                <c:pt idx="500">
                  <c:v>1910</c:v>
                </c:pt>
                <c:pt idx="501">
                  <c:v>1910</c:v>
                </c:pt>
                <c:pt idx="502">
                  <c:v>1910</c:v>
                </c:pt>
                <c:pt idx="503">
                  <c:v>1915</c:v>
                </c:pt>
                <c:pt idx="504">
                  <c:v>1910</c:v>
                </c:pt>
                <c:pt idx="505">
                  <c:v>1910</c:v>
                </c:pt>
                <c:pt idx="506">
                  <c:v>1915</c:v>
                </c:pt>
                <c:pt idx="507">
                  <c:v>1910</c:v>
                </c:pt>
                <c:pt idx="508">
                  <c:v>1910</c:v>
                </c:pt>
                <c:pt idx="509">
                  <c:v>1910</c:v>
                </c:pt>
                <c:pt idx="510">
                  <c:v>1910</c:v>
                </c:pt>
                <c:pt idx="511">
                  <c:v>1910</c:v>
                </c:pt>
                <c:pt idx="512">
                  <c:v>1910</c:v>
                </c:pt>
                <c:pt idx="513">
                  <c:v>1910</c:v>
                </c:pt>
                <c:pt idx="514">
                  <c:v>1910</c:v>
                </c:pt>
                <c:pt idx="515">
                  <c:v>1910</c:v>
                </c:pt>
                <c:pt idx="516">
                  <c:v>1905</c:v>
                </c:pt>
                <c:pt idx="517">
                  <c:v>1910</c:v>
                </c:pt>
                <c:pt idx="518">
                  <c:v>1905</c:v>
                </c:pt>
                <c:pt idx="519">
                  <c:v>1905</c:v>
                </c:pt>
                <c:pt idx="520">
                  <c:v>1905</c:v>
                </c:pt>
                <c:pt idx="521">
                  <c:v>1905</c:v>
                </c:pt>
                <c:pt idx="522">
                  <c:v>1905</c:v>
                </c:pt>
                <c:pt idx="523">
                  <c:v>1910</c:v>
                </c:pt>
                <c:pt idx="524">
                  <c:v>1905</c:v>
                </c:pt>
                <c:pt idx="525">
                  <c:v>1905</c:v>
                </c:pt>
                <c:pt idx="526">
                  <c:v>1905</c:v>
                </c:pt>
                <c:pt idx="527">
                  <c:v>1910</c:v>
                </c:pt>
                <c:pt idx="528">
                  <c:v>1905</c:v>
                </c:pt>
                <c:pt idx="529">
                  <c:v>1905</c:v>
                </c:pt>
                <c:pt idx="530">
                  <c:v>1905</c:v>
                </c:pt>
                <c:pt idx="531">
                  <c:v>1905</c:v>
                </c:pt>
                <c:pt idx="532">
                  <c:v>1905</c:v>
                </c:pt>
                <c:pt idx="533">
                  <c:v>1905</c:v>
                </c:pt>
                <c:pt idx="534">
                  <c:v>1905</c:v>
                </c:pt>
                <c:pt idx="535">
                  <c:v>1905</c:v>
                </c:pt>
                <c:pt idx="536">
                  <c:v>1905</c:v>
                </c:pt>
                <c:pt idx="537">
                  <c:v>1910</c:v>
                </c:pt>
                <c:pt idx="538">
                  <c:v>1905</c:v>
                </c:pt>
                <c:pt idx="539">
                  <c:v>1910</c:v>
                </c:pt>
                <c:pt idx="540">
                  <c:v>1905</c:v>
                </c:pt>
                <c:pt idx="541">
                  <c:v>1905</c:v>
                </c:pt>
                <c:pt idx="542">
                  <c:v>1905</c:v>
                </c:pt>
                <c:pt idx="543">
                  <c:v>1910</c:v>
                </c:pt>
                <c:pt idx="544">
                  <c:v>1905</c:v>
                </c:pt>
                <c:pt idx="545">
                  <c:v>1905</c:v>
                </c:pt>
                <c:pt idx="546">
                  <c:v>1905</c:v>
                </c:pt>
                <c:pt idx="547">
                  <c:v>1905</c:v>
                </c:pt>
                <c:pt idx="548">
                  <c:v>1905</c:v>
                </c:pt>
                <c:pt idx="549">
                  <c:v>1905</c:v>
                </c:pt>
                <c:pt idx="550">
                  <c:v>1910</c:v>
                </c:pt>
                <c:pt idx="551">
                  <c:v>1910</c:v>
                </c:pt>
                <c:pt idx="552">
                  <c:v>1905</c:v>
                </c:pt>
                <c:pt idx="553">
                  <c:v>1910</c:v>
                </c:pt>
                <c:pt idx="554">
                  <c:v>1905</c:v>
                </c:pt>
                <c:pt idx="555">
                  <c:v>1905</c:v>
                </c:pt>
                <c:pt idx="556">
                  <c:v>1910</c:v>
                </c:pt>
                <c:pt idx="557">
                  <c:v>1905</c:v>
                </c:pt>
                <c:pt idx="558">
                  <c:v>1905</c:v>
                </c:pt>
                <c:pt idx="559">
                  <c:v>1910</c:v>
                </c:pt>
                <c:pt idx="560">
                  <c:v>1905</c:v>
                </c:pt>
                <c:pt idx="561">
                  <c:v>1905</c:v>
                </c:pt>
                <c:pt idx="562">
                  <c:v>1910</c:v>
                </c:pt>
                <c:pt idx="563">
                  <c:v>1910</c:v>
                </c:pt>
                <c:pt idx="564">
                  <c:v>1905</c:v>
                </c:pt>
                <c:pt idx="565">
                  <c:v>1910</c:v>
                </c:pt>
                <c:pt idx="566">
                  <c:v>1905</c:v>
                </c:pt>
                <c:pt idx="567">
                  <c:v>1905</c:v>
                </c:pt>
                <c:pt idx="568">
                  <c:v>1910</c:v>
                </c:pt>
                <c:pt idx="569">
                  <c:v>1905</c:v>
                </c:pt>
                <c:pt idx="570">
                  <c:v>1905</c:v>
                </c:pt>
                <c:pt idx="571">
                  <c:v>1910</c:v>
                </c:pt>
                <c:pt idx="572">
                  <c:v>1905</c:v>
                </c:pt>
                <c:pt idx="573">
                  <c:v>1905</c:v>
                </c:pt>
                <c:pt idx="574">
                  <c:v>1905</c:v>
                </c:pt>
                <c:pt idx="575">
                  <c:v>1910</c:v>
                </c:pt>
                <c:pt idx="576">
                  <c:v>1905</c:v>
                </c:pt>
                <c:pt idx="577">
                  <c:v>1905</c:v>
                </c:pt>
                <c:pt idx="578">
                  <c:v>1905</c:v>
                </c:pt>
                <c:pt idx="579">
                  <c:v>1905</c:v>
                </c:pt>
                <c:pt idx="580">
                  <c:v>1905</c:v>
                </c:pt>
                <c:pt idx="581">
                  <c:v>1905</c:v>
                </c:pt>
                <c:pt idx="582">
                  <c:v>1905</c:v>
                </c:pt>
                <c:pt idx="583">
                  <c:v>1905</c:v>
                </c:pt>
                <c:pt idx="584">
                  <c:v>1905</c:v>
                </c:pt>
                <c:pt idx="585">
                  <c:v>1905</c:v>
                </c:pt>
                <c:pt idx="586">
                  <c:v>1905</c:v>
                </c:pt>
                <c:pt idx="587">
                  <c:v>1905</c:v>
                </c:pt>
                <c:pt idx="588">
                  <c:v>1905</c:v>
                </c:pt>
                <c:pt idx="589">
                  <c:v>1905</c:v>
                </c:pt>
                <c:pt idx="590">
                  <c:v>1905</c:v>
                </c:pt>
                <c:pt idx="591">
                  <c:v>1905</c:v>
                </c:pt>
                <c:pt idx="592">
                  <c:v>1905</c:v>
                </c:pt>
                <c:pt idx="593">
                  <c:v>1905</c:v>
                </c:pt>
                <c:pt idx="594">
                  <c:v>1905</c:v>
                </c:pt>
                <c:pt idx="595">
                  <c:v>1910</c:v>
                </c:pt>
                <c:pt idx="596">
                  <c:v>1910</c:v>
                </c:pt>
                <c:pt idx="597">
                  <c:v>1905</c:v>
                </c:pt>
                <c:pt idx="598">
                  <c:v>1905</c:v>
                </c:pt>
                <c:pt idx="599">
                  <c:v>1910</c:v>
                </c:pt>
                <c:pt idx="600">
                  <c:v>1910</c:v>
                </c:pt>
                <c:pt idx="601">
                  <c:v>1910</c:v>
                </c:pt>
                <c:pt idx="602">
                  <c:v>1910</c:v>
                </c:pt>
                <c:pt idx="603">
                  <c:v>1905</c:v>
                </c:pt>
                <c:pt idx="604">
                  <c:v>1910</c:v>
                </c:pt>
                <c:pt idx="605">
                  <c:v>1910</c:v>
                </c:pt>
                <c:pt idx="606">
                  <c:v>1905</c:v>
                </c:pt>
                <c:pt idx="607">
                  <c:v>1905</c:v>
                </c:pt>
                <c:pt idx="608">
                  <c:v>1905</c:v>
                </c:pt>
                <c:pt idx="609">
                  <c:v>1905</c:v>
                </c:pt>
                <c:pt idx="610">
                  <c:v>1910</c:v>
                </c:pt>
                <c:pt idx="611">
                  <c:v>1910</c:v>
                </c:pt>
                <c:pt idx="612">
                  <c:v>1910</c:v>
                </c:pt>
                <c:pt idx="613">
                  <c:v>1905</c:v>
                </c:pt>
                <c:pt idx="614">
                  <c:v>1910</c:v>
                </c:pt>
                <c:pt idx="615">
                  <c:v>1910</c:v>
                </c:pt>
                <c:pt idx="616">
                  <c:v>1910</c:v>
                </c:pt>
                <c:pt idx="617">
                  <c:v>1905</c:v>
                </c:pt>
                <c:pt idx="618">
                  <c:v>1905</c:v>
                </c:pt>
                <c:pt idx="619">
                  <c:v>1905</c:v>
                </c:pt>
                <c:pt idx="620">
                  <c:v>1905</c:v>
                </c:pt>
                <c:pt idx="621">
                  <c:v>1905</c:v>
                </c:pt>
                <c:pt idx="622">
                  <c:v>1910</c:v>
                </c:pt>
                <c:pt idx="623">
                  <c:v>1910</c:v>
                </c:pt>
                <c:pt idx="624">
                  <c:v>1910</c:v>
                </c:pt>
                <c:pt idx="625">
                  <c:v>1900</c:v>
                </c:pt>
                <c:pt idx="626">
                  <c:v>1900</c:v>
                </c:pt>
                <c:pt idx="627">
                  <c:v>1905</c:v>
                </c:pt>
                <c:pt idx="628">
                  <c:v>1900</c:v>
                </c:pt>
                <c:pt idx="629">
                  <c:v>1900</c:v>
                </c:pt>
                <c:pt idx="630">
                  <c:v>1905</c:v>
                </c:pt>
                <c:pt idx="631">
                  <c:v>1900</c:v>
                </c:pt>
                <c:pt idx="632">
                  <c:v>1900</c:v>
                </c:pt>
                <c:pt idx="633">
                  <c:v>1905</c:v>
                </c:pt>
                <c:pt idx="634">
                  <c:v>1900</c:v>
                </c:pt>
                <c:pt idx="635">
                  <c:v>1905</c:v>
                </c:pt>
                <c:pt idx="636">
                  <c:v>1905</c:v>
                </c:pt>
                <c:pt idx="637">
                  <c:v>1900</c:v>
                </c:pt>
                <c:pt idx="638">
                  <c:v>1900</c:v>
                </c:pt>
                <c:pt idx="639">
                  <c:v>1900</c:v>
                </c:pt>
                <c:pt idx="640">
                  <c:v>1905</c:v>
                </c:pt>
                <c:pt idx="641">
                  <c:v>1900</c:v>
                </c:pt>
                <c:pt idx="642">
                  <c:v>1900</c:v>
                </c:pt>
                <c:pt idx="643">
                  <c:v>1900</c:v>
                </c:pt>
                <c:pt idx="644">
                  <c:v>1900</c:v>
                </c:pt>
                <c:pt idx="645">
                  <c:v>1900</c:v>
                </c:pt>
                <c:pt idx="646">
                  <c:v>1905</c:v>
                </c:pt>
                <c:pt idx="647">
                  <c:v>1900</c:v>
                </c:pt>
                <c:pt idx="648">
                  <c:v>1900</c:v>
                </c:pt>
                <c:pt idx="649">
                  <c:v>1905</c:v>
                </c:pt>
                <c:pt idx="650">
                  <c:v>1900</c:v>
                </c:pt>
                <c:pt idx="651">
                  <c:v>1900</c:v>
                </c:pt>
                <c:pt idx="652">
                  <c:v>1900</c:v>
                </c:pt>
                <c:pt idx="653">
                  <c:v>1905</c:v>
                </c:pt>
                <c:pt idx="654">
                  <c:v>1900</c:v>
                </c:pt>
                <c:pt idx="655">
                  <c:v>1905</c:v>
                </c:pt>
                <c:pt idx="656">
                  <c:v>1900</c:v>
                </c:pt>
                <c:pt idx="657">
                  <c:v>1905</c:v>
                </c:pt>
                <c:pt idx="658">
                  <c:v>1900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35-43C9-B25B-C1588BD4283F}"/>
            </c:ext>
          </c:extLst>
        </c:ser>
        <c:ser>
          <c:idx val="1"/>
          <c:order val="1"/>
          <c:tx>
            <c:v>1914.8</c:v>
          </c:tx>
          <c:marker>
            <c:symbol val="none"/>
          </c:marker>
          <c:val>
            <c:numRef>
              <c:f>結算估價!$H$668:$H$1328</c:f>
              <c:numCache>
                <c:formatCode>General</c:formatCode>
                <c:ptCount val="661"/>
                <c:pt idx="0">
                  <c:v>1920</c:v>
                </c:pt>
                <c:pt idx="1">
                  <c:v>1920</c:v>
                </c:pt>
                <c:pt idx="2">
                  <c:v>1920</c:v>
                </c:pt>
                <c:pt idx="3">
                  <c:v>1920</c:v>
                </c:pt>
                <c:pt idx="4">
                  <c:v>1920</c:v>
                </c:pt>
                <c:pt idx="5">
                  <c:v>1920</c:v>
                </c:pt>
                <c:pt idx="6">
                  <c:v>1919.2857142857142</c:v>
                </c:pt>
                <c:pt idx="7">
                  <c:v>1919.375</c:v>
                </c:pt>
                <c:pt idx="8">
                  <c:v>1919.4444444444443</c:v>
                </c:pt>
                <c:pt idx="9">
                  <c:v>1919.5</c:v>
                </c:pt>
                <c:pt idx="10">
                  <c:v>1919.5454545454545</c:v>
                </c:pt>
                <c:pt idx="11">
                  <c:v>1919.5833333333333</c:v>
                </c:pt>
                <c:pt idx="12">
                  <c:v>1919.6153846153845</c:v>
                </c:pt>
                <c:pt idx="13">
                  <c:v>1919.6428571428571</c:v>
                </c:pt>
                <c:pt idx="14">
                  <c:v>1919.6666666666667</c:v>
                </c:pt>
                <c:pt idx="15">
                  <c:v>1919.6875</c:v>
                </c:pt>
                <c:pt idx="16">
                  <c:v>1919.7058823529412</c:v>
                </c:pt>
                <c:pt idx="17">
                  <c:v>1919.7222222222222</c:v>
                </c:pt>
                <c:pt idx="18">
                  <c:v>1919.7368421052631</c:v>
                </c:pt>
                <c:pt idx="19">
                  <c:v>1919.5</c:v>
                </c:pt>
                <c:pt idx="20">
                  <c:v>1919.5238095238096</c:v>
                </c:pt>
                <c:pt idx="21">
                  <c:v>1919.5454545454545</c:v>
                </c:pt>
                <c:pt idx="22">
                  <c:v>1919.5652173913043</c:v>
                </c:pt>
                <c:pt idx="23">
                  <c:v>1919.5833333333333</c:v>
                </c:pt>
                <c:pt idx="24">
                  <c:v>1919.6</c:v>
                </c:pt>
                <c:pt idx="25">
                  <c:v>1919.6153846153845</c:v>
                </c:pt>
                <c:pt idx="26">
                  <c:v>1919.6296296296296</c:v>
                </c:pt>
                <c:pt idx="27">
                  <c:v>1919.6428571428571</c:v>
                </c:pt>
                <c:pt idx="28">
                  <c:v>1919.655172413793</c:v>
                </c:pt>
                <c:pt idx="29">
                  <c:v>1919.5</c:v>
                </c:pt>
                <c:pt idx="30">
                  <c:v>1919.516129032258</c:v>
                </c:pt>
                <c:pt idx="31">
                  <c:v>1919.375</c:v>
                </c:pt>
                <c:pt idx="32">
                  <c:v>1919.3939393939395</c:v>
                </c:pt>
                <c:pt idx="33">
                  <c:v>1919.2647058823529</c:v>
                </c:pt>
                <c:pt idx="34">
                  <c:v>1919.2857142857142</c:v>
                </c:pt>
                <c:pt idx="35">
                  <c:v>1919.1666666666667</c:v>
                </c:pt>
                <c:pt idx="36">
                  <c:v>1919.1891891891892</c:v>
                </c:pt>
                <c:pt idx="37">
                  <c:v>1919.2105263157894</c:v>
                </c:pt>
                <c:pt idx="38">
                  <c:v>1919.1025641025642</c:v>
                </c:pt>
                <c:pt idx="39">
                  <c:v>1919</c:v>
                </c:pt>
                <c:pt idx="40">
                  <c:v>1919.0243902439024</c:v>
                </c:pt>
                <c:pt idx="41">
                  <c:v>1919.047619047619</c:v>
                </c:pt>
                <c:pt idx="42">
                  <c:v>1919.0697674418604</c:v>
                </c:pt>
                <c:pt idx="43">
                  <c:v>1919.090909090909</c:v>
                </c:pt>
                <c:pt idx="44">
                  <c:v>1919.1111111111111</c:v>
                </c:pt>
                <c:pt idx="45">
                  <c:v>1919.1304347826087</c:v>
                </c:pt>
                <c:pt idx="46">
                  <c:v>1919.1489361702127</c:v>
                </c:pt>
                <c:pt idx="47">
                  <c:v>1919.1666666666667</c:v>
                </c:pt>
                <c:pt idx="48">
                  <c:v>1919.1836734693877</c:v>
                </c:pt>
                <c:pt idx="49">
                  <c:v>1919.2</c:v>
                </c:pt>
                <c:pt idx="50">
                  <c:v>1919.2156862745098</c:v>
                </c:pt>
                <c:pt idx="51">
                  <c:v>1919.1346153846155</c:v>
                </c:pt>
                <c:pt idx="52">
                  <c:v>1919.1509433962265</c:v>
                </c:pt>
                <c:pt idx="53">
                  <c:v>1919.0740740740741</c:v>
                </c:pt>
                <c:pt idx="54">
                  <c:v>1919.090909090909</c:v>
                </c:pt>
                <c:pt idx="55">
                  <c:v>1919.0178571428571</c:v>
                </c:pt>
                <c:pt idx="56">
                  <c:v>1919.0350877192982</c:v>
                </c:pt>
                <c:pt idx="57">
                  <c:v>1919.0517241379309</c:v>
                </c:pt>
                <c:pt idx="58">
                  <c:v>1918.9830508474577</c:v>
                </c:pt>
                <c:pt idx="59">
                  <c:v>1918.9166666666667</c:v>
                </c:pt>
                <c:pt idx="60">
                  <c:v>1918.9344262295083</c:v>
                </c:pt>
                <c:pt idx="61">
                  <c:v>1918.8709677419354</c:v>
                </c:pt>
                <c:pt idx="62">
                  <c:v>1918.8888888888889</c:v>
                </c:pt>
                <c:pt idx="63">
                  <c:v>1918.90625</c:v>
                </c:pt>
                <c:pt idx="64">
                  <c:v>1918.9230769230769</c:v>
                </c:pt>
                <c:pt idx="65">
                  <c:v>1918.939393939394</c:v>
                </c:pt>
                <c:pt idx="66">
                  <c:v>1918.955223880597</c:v>
                </c:pt>
                <c:pt idx="67">
                  <c:v>1918.8970588235295</c:v>
                </c:pt>
                <c:pt idx="68">
                  <c:v>1918.9130434782608</c:v>
                </c:pt>
                <c:pt idx="69">
                  <c:v>1918.9285714285713</c:v>
                </c:pt>
                <c:pt idx="70">
                  <c:v>1918.943661971831</c:v>
                </c:pt>
                <c:pt idx="71">
                  <c:v>1918.9583333333333</c:v>
                </c:pt>
                <c:pt idx="72">
                  <c:v>1918.972602739726</c:v>
                </c:pt>
                <c:pt idx="73">
                  <c:v>1918.918918918919</c:v>
                </c:pt>
                <c:pt idx="74">
                  <c:v>1918.9333333333334</c:v>
                </c:pt>
                <c:pt idx="75">
                  <c:v>1918.8815789473683</c:v>
                </c:pt>
                <c:pt idx="76">
                  <c:v>1918.8311688311687</c:v>
                </c:pt>
                <c:pt idx="77">
                  <c:v>1918.8461538461538</c:v>
                </c:pt>
                <c:pt idx="78">
                  <c:v>1918.7974683544303</c:v>
                </c:pt>
                <c:pt idx="79">
                  <c:v>1918.8125</c:v>
                </c:pt>
                <c:pt idx="80">
                  <c:v>1918.7654320987654</c:v>
                </c:pt>
                <c:pt idx="81">
                  <c:v>1918.719512195122</c:v>
                </c:pt>
                <c:pt idx="82">
                  <c:v>1918.7349397590363</c:v>
                </c:pt>
                <c:pt idx="83">
                  <c:v>1918.75</c:v>
                </c:pt>
                <c:pt idx="84">
                  <c:v>1918.7647058823529</c:v>
                </c:pt>
                <c:pt idx="85">
                  <c:v>1918.7790697674418</c:v>
                </c:pt>
                <c:pt idx="86">
                  <c:v>1918.7931034482758</c:v>
                </c:pt>
                <c:pt idx="87">
                  <c:v>1918.75</c:v>
                </c:pt>
                <c:pt idx="88">
                  <c:v>1918.7640449438202</c:v>
                </c:pt>
                <c:pt idx="89">
                  <c:v>1918.7777777777778</c:v>
                </c:pt>
                <c:pt idx="90">
                  <c:v>1918.7912087912089</c:v>
                </c:pt>
                <c:pt idx="91">
                  <c:v>1918.804347826087</c:v>
                </c:pt>
                <c:pt idx="92">
                  <c:v>1918.8172043010752</c:v>
                </c:pt>
                <c:pt idx="93">
                  <c:v>1918.8297872340424</c:v>
                </c:pt>
                <c:pt idx="94">
                  <c:v>1918.8421052631579</c:v>
                </c:pt>
                <c:pt idx="95">
                  <c:v>1918.8541666666667</c:v>
                </c:pt>
                <c:pt idx="96">
                  <c:v>1918.8659793814434</c:v>
                </c:pt>
                <c:pt idx="97">
                  <c:v>1918.8775510204082</c:v>
                </c:pt>
                <c:pt idx="98">
                  <c:v>1918.8888888888889</c:v>
                </c:pt>
                <c:pt idx="99">
                  <c:v>1918.9</c:v>
                </c:pt>
                <c:pt idx="100">
                  <c:v>1918.9108910891089</c:v>
                </c:pt>
                <c:pt idx="101">
                  <c:v>1918.9215686274511</c:v>
                </c:pt>
                <c:pt idx="102">
                  <c:v>1918.8834951456311</c:v>
                </c:pt>
                <c:pt idx="103">
                  <c:v>1918.8942307692307</c:v>
                </c:pt>
                <c:pt idx="104">
                  <c:v>1918.9047619047619</c:v>
                </c:pt>
                <c:pt idx="105">
                  <c:v>1918.9150943396226</c:v>
                </c:pt>
                <c:pt idx="106">
                  <c:v>1918.8785046728972</c:v>
                </c:pt>
                <c:pt idx="107">
                  <c:v>1918.8888888888889</c:v>
                </c:pt>
                <c:pt idx="108">
                  <c:v>1918.8990825688074</c:v>
                </c:pt>
                <c:pt idx="109">
                  <c:v>1918.909090909091</c:v>
                </c:pt>
                <c:pt idx="110">
                  <c:v>1918.8738738738739</c:v>
                </c:pt>
                <c:pt idx="111">
                  <c:v>1918.8839285714287</c:v>
                </c:pt>
                <c:pt idx="112">
                  <c:v>1918.8938053097345</c:v>
                </c:pt>
                <c:pt idx="113">
                  <c:v>1918.859649122807</c:v>
                </c:pt>
                <c:pt idx="114">
                  <c:v>1918.8695652173913</c:v>
                </c:pt>
                <c:pt idx="115">
                  <c:v>1918.8793103448277</c:v>
                </c:pt>
                <c:pt idx="116">
                  <c:v>1918.8888888888889</c:v>
                </c:pt>
                <c:pt idx="117">
                  <c:v>1918.8559322033898</c:v>
                </c:pt>
                <c:pt idx="118">
                  <c:v>1918.8235294117646</c:v>
                </c:pt>
                <c:pt idx="119">
                  <c:v>1918.7916666666667</c:v>
                </c:pt>
                <c:pt idx="120">
                  <c:v>1918.8016528925621</c:v>
                </c:pt>
                <c:pt idx="121">
                  <c:v>1918.811475409836</c:v>
                </c:pt>
                <c:pt idx="122">
                  <c:v>1918.821138211382</c:v>
                </c:pt>
                <c:pt idx="123">
                  <c:v>1918.8306451612902</c:v>
                </c:pt>
                <c:pt idx="124">
                  <c:v>1918.84</c:v>
                </c:pt>
                <c:pt idx="125">
                  <c:v>1918.8095238095239</c:v>
                </c:pt>
                <c:pt idx="126">
                  <c:v>1918.8188976377953</c:v>
                </c:pt>
                <c:pt idx="127">
                  <c:v>1918.828125</c:v>
                </c:pt>
                <c:pt idx="128">
                  <c:v>1918.8372093023256</c:v>
                </c:pt>
                <c:pt idx="129">
                  <c:v>1918.8461538461538</c:v>
                </c:pt>
                <c:pt idx="130">
                  <c:v>1918.8167938931297</c:v>
                </c:pt>
                <c:pt idx="131">
                  <c:v>1918.7878787878788</c:v>
                </c:pt>
                <c:pt idx="132">
                  <c:v>1918.796992481203</c:v>
                </c:pt>
                <c:pt idx="133">
                  <c:v>1918.7686567164178</c:v>
                </c:pt>
                <c:pt idx="134">
                  <c:v>1918.7777777777778</c:v>
                </c:pt>
                <c:pt idx="135">
                  <c:v>1918.7867647058824</c:v>
                </c:pt>
                <c:pt idx="136">
                  <c:v>1918.7591240875913</c:v>
                </c:pt>
                <c:pt idx="137">
                  <c:v>1918.731884057971</c:v>
                </c:pt>
                <c:pt idx="138">
                  <c:v>1918.7410071942445</c:v>
                </c:pt>
                <c:pt idx="139">
                  <c:v>1918.75</c:v>
                </c:pt>
                <c:pt idx="140">
                  <c:v>1918.758865248227</c:v>
                </c:pt>
                <c:pt idx="141">
                  <c:v>1918.7676056338028</c:v>
                </c:pt>
                <c:pt idx="142">
                  <c:v>1918.7762237762238</c:v>
                </c:pt>
                <c:pt idx="143">
                  <c:v>1918.7847222222222</c:v>
                </c:pt>
                <c:pt idx="144">
                  <c:v>1918.7931034482758</c:v>
                </c:pt>
                <c:pt idx="145">
                  <c:v>1918.8013698630136</c:v>
                </c:pt>
                <c:pt idx="146">
                  <c:v>1918.8095238095239</c:v>
                </c:pt>
                <c:pt idx="147">
                  <c:v>1918.8175675675675</c:v>
                </c:pt>
                <c:pt idx="148">
                  <c:v>1918.7919463087248</c:v>
                </c:pt>
                <c:pt idx="149">
                  <c:v>1918.8</c:v>
                </c:pt>
                <c:pt idx="150">
                  <c:v>1918.7748344370862</c:v>
                </c:pt>
                <c:pt idx="151">
                  <c:v>1918.7828947368421</c:v>
                </c:pt>
                <c:pt idx="152">
                  <c:v>1918.7908496732025</c:v>
                </c:pt>
                <c:pt idx="153">
                  <c:v>1918.7987012987012</c:v>
                </c:pt>
                <c:pt idx="154">
                  <c:v>1918.8064516129032</c:v>
                </c:pt>
                <c:pt idx="155">
                  <c:v>1918.8141025641025</c:v>
                </c:pt>
                <c:pt idx="156">
                  <c:v>1918.8216560509554</c:v>
                </c:pt>
                <c:pt idx="157">
                  <c:v>1918.8291139240507</c:v>
                </c:pt>
                <c:pt idx="158">
                  <c:v>1918.8364779874214</c:v>
                </c:pt>
                <c:pt idx="159">
                  <c:v>1918.84375</c:v>
                </c:pt>
                <c:pt idx="160">
                  <c:v>1918.8509316770187</c:v>
                </c:pt>
                <c:pt idx="161">
                  <c:v>1918.858024691358</c:v>
                </c:pt>
                <c:pt idx="162">
                  <c:v>1918.8343558282209</c:v>
                </c:pt>
                <c:pt idx="163">
                  <c:v>1918.810975609756</c:v>
                </c:pt>
                <c:pt idx="164">
                  <c:v>1918.8181818181818</c:v>
                </c:pt>
                <c:pt idx="165">
                  <c:v>1918.7951807228915</c:v>
                </c:pt>
                <c:pt idx="166">
                  <c:v>1918.8023952095809</c:v>
                </c:pt>
                <c:pt idx="167">
                  <c:v>1918.8095238095239</c:v>
                </c:pt>
                <c:pt idx="168">
                  <c:v>1918.7869822485206</c:v>
                </c:pt>
                <c:pt idx="169">
                  <c:v>1918.7647058823529</c:v>
                </c:pt>
                <c:pt idx="170">
                  <c:v>1918.7719298245613</c:v>
                </c:pt>
                <c:pt idx="171">
                  <c:v>1918.75</c:v>
                </c:pt>
                <c:pt idx="172">
                  <c:v>1918.7283236994219</c:v>
                </c:pt>
                <c:pt idx="173">
                  <c:v>1918.7356321839081</c:v>
                </c:pt>
                <c:pt idx="174">
                  <c:v>1918.7142857142858</c:v>
                </c:pt>
                <c:pt idx="175">
                  <c:v>1918.721590909091</c:v>
                </c:pt>
                <c:pt idx="176">
                  <c:v>1918.7288135593221</c:v>
                </c:pt>
                <c:pt idx="177">
                  <c:v>1918.7359550561798</c:v>
                </c:pt>
                <c:pt idx="178">
                  <c:v>1918.7150837988827</c:v>
                </c:pt>
                <c:pt idx="179">
                  <c:v>1918.7222222222222</c:v>
                </c:pt>
                <c:pt idx="180">
                  <c:v>1918.7292817679559</c:v>
                </c:pt>
                <c:pt idx="181">
                  <c:v>1918.7362637362637</c:v>
                </c:pt>
                <c:pt idx="182">
                  <c:v>1918.7431693989072</c:v>
                </c:pt>
                <c:pt idx="183">
                  <c:v>1918.75</c:v>
                </c:pt>
                <c:pt idx="184">
                  <c:v>1918.7567567567567</c:v>
                </c:pt>
                <c:pt idx="185">
                  <c:v>1918.736559139785</c:v>
                </c:pt>
                <c:pt idx="186">
                  <c:v>1918.716577540107</c:v>
                </c:pt>
                <c:pt idx="187">
                  <c:v>1918.7234042553191</c:v>
                </c:pt>
                <c:pt idx="188">
                  <c:v>1918.7301587301588</c:v>
                </c:pt>
                <c:pt idx="189">
                  <c:v>1918.7105263157894</c:v>
                </c:pt>
                <c:pt idx="190">
                  <c:v>1918.7172774869109</c:v>
                </c:pt>
                <c:pt idx="191">
                  <c:v>1918.7239583333333</c:v>
                </c:pt>
                <c:pt idx="192">
                  <c:v>1918.7305699481865</c:v>
                </c:pt>
                <c:pt idx="193">
                  <c:v>1918.7113402061855</c:v>
                </c:pt>
                <c:pt idx="194">
                  <c:v>1918.7179487179487</c:v>
                </c:pt>
                <c:pt idx="195">
                  <c:v>1918.7244897959183</c:v>
                </c:pt>
                <c:pt idx="196">
                  <c:v>1918.7309644670052</c:v>
                </c:pt>
                <c:pt idx="197">
                  <c:v>1918.7373737373737</c:v>
                </c:pt>
                <c:pt idx="198">
                  <c:v>1918.7185929648242</c:v>
                </c:pt>
                <c:pt idx="199">
                  <c:v>1918.7249999999999</c:v>
                </c:pt>
                <c:pt idx="200">
                  <c:v>1918.7313432835822</c:v>
                </c:pt>
                <c:pt idx="201">
                  <c:v>1918.7376237623762</c:v>
                </c:pt>
                <c:pt idx="202">
                  <c:v>1918.7438423645319</c:v>
                </c:pt>
                <c:pt idx="203">
                  <c:v>1918.75</c:v>
                </c:pt>
                <c:pt idx="204">
                  <c:v>1918.7560975609756</c:v>
                </c:pt>
                <c:pt idx="205">
                  <c:v>1918.7621359223301</c:v>
                </c:pt>
                <c:pt idx="206">
                  <c:v>1918.768115942029</c:v>
                </c:pt>
                <c:pt idx="207">
                  <c:v>1918.75</c:v>
                </c:pt>
                <c:pt idx="208">
                  <c:v>1918.7559808612441</c:v>
                </c:pt>
                <c:pt idx="209">
                  <c:v>1918.7619047619048</c:v>
                </c:pt>
                <c:pt idx="210">
                  <c:v>1918.7677725118483</c:v>
                </c:pt>
                <c:pt idx="211">
                  <c:v>1918.7735849056603</c:v>
                </c:pt>
                <c:pt idx="212">
                  <c:v>1918.7558685446008</c:v>
                </c:pt>
                <c:pt idx="213">
                  <c:v>1918.7383177570093</c:v>
                </c:pt>
                <c:pt idx="214">
                  <c:v>1918.7441860465117</c:v>
                </c:pt>
                <c:pt idx="215">
                  <c:v>1918.726851851852</c:v>
                </c:pt>
                <c:pt idx="216">
                  <c:v>1918.7327188940092</c:v>
                </c:pt>
                <c:pt idx="217">
                  <c:v>1918.7385321100917</c:v>
                </c:pt>
                <c:pt idx="218">
                  <c:v>1918.7214611872146</c:v>
                </c:pt>
                <c:pt idx="219">
                  <c:v>1918.7045454545455</c:v>
                </c:pt>
                <c:pt idx="220">
                  <c:v>1918.710407239819</c:v>
                </c:pt>
                <c:pt idx="221">
                  <c:v>1918.6936936936936</c:v>
                </c:pt>
                <c:pt idx="222">
                  <c:v>1918.6995515695066</c:v>
                </c:pt>
                <c:pt idx="223">
                  <c:v>1918.7053571428571</c:v>
                </c:pt>
                <c:pt idx="224">
                  <c:v>1918.6888888888889</c:v>
                </c:pt>
                <c:pt idx="225">
                  <c:v>1918.6946902654868</c:v>
                </c:pt>
                <c:pt idx="226">
                  <c:v>1918.7004405286343</c:v>
                </c:pt>
                <c:pt idx="227">
                  <c:v>1918.7061403508771</c:v>
                </c:pt>
                <c:pt idx="228">
                  <c:v>1918.7117903930132</c:v>
                </c:pt>
                <c:pt idx="229">
                  <c:v>1918.7173913043478</c:v>
                </c:pt>
                <c:pt idx="230">
                  <c:v>1918.7012987012988</c:v>
                </c:pt>
                <c:pt idx="231">
                  <c:v>1918.7068965517242</c:v>
                </c:pt>
                <c:pt idx="232">
                  <c:v>1918.7124463519312</c:v>
                </c:pt>
                <c:pt idx="233">
                  <c:v>1918.7179487179487</c:v>
                </c:pt>
                <c:pt idx="234">
                  <c:v>1918.7234042553191</c:v>
                </c:pt>
                <c:pt idx="235">
                  <c:v>1918.7288135593221</c:v>
                </c:pt>
                <c:pt idx="236">
                  <c:v>1918.7130801687763</c:v>
                </c:pt>
                <c:pt idx="237">
                  <c:v>1918.7184873949579</c:v>
                </c:pt>
                <c:pt idx="238">
                  <c:v>1918.7238493723848</c:v>
                </c:pt>
                <c:pt idx="239">
                  <c:v>1918.7291666666667</c:v>
                </c:pt>
                <c:pt idx="240">
                  <c:v>1918.7344398340249</c:v>
                </c:pt>
                <c:pt idx="241">
                  <c:v>1918.7396694214876</c:v>
                </c:pt>
                <c:pt idx="242">
                  <c:v>1918.7448559670781</c:v>
                </c:pt>
                <c:pt idx="243">
                  <c:v>1918.7295081967213</c:v>
                </c:pt>
                <c:pt idx="244">
                  <c:v>1918.7346938775511</c:v>
                </c:pt>
                <c:pt idx="245">
                  <c:v>1918.739837398374</c:v>
                </c:pt>
                <c:pt idx="246">
                  <c:v>1918.7449392712551</c:v>
                </c:pt>
                <c:pt idx="247">
                  <c:v>1918.75</c:v>
                </c:pt>
                <c:pt idx="248">
                  <c:v>1918.7550200803212</c:v>
                </c:pt>
                <c:pt idx="249">
                  <c:v>1918.76</c:v>
                </c:pt>
                <c:pt idx="250">
                  <c:v>1918.7649402390439</c:v>
                </c:pt>
                <c:pt idx="251">
                  <c:v>1918.7698412698412</c:v>
                </c:pt>
                <c:pt idx="252">
                  <c:v>1918.7747035573123</c:v>
                </c:pt>
                <c:pt idx="253">
                  <c:v>1918.7795275590552</c:v>
                </c:pt>
                <c:pt idx="254">
                  <c:v>1918.7843137254902</c:v>
                </c:pt>
                <c:pt idx="255">
                  <c:v>1918.7890625</c:v>
                </c:pt>
                <c:pt idx="256">
                  <c:v>1918.7937743190662</c:v>
                </c:pt>
                <c:pt idx="257">
                  <c:v>1918.7984496124031</c:v>
                </c:pt>
                <c:pt idx="258">
                  <c:v>1918.8030888030887</c:v>
                </c:pt>
                <c:pt idx="259">
                  <c:v>1918.8076923076924</c:v>
                </c:pt>
                <c:pt idx="260">
                  <c:v>1918.8122605363985</c:v>
                </c:pt>
                <c:pt idx="261">
                  <c:v>1918.8167938931297</c:v>
                </c:pt>
                <c:pt idx="262">
                  <c:v>1918.8212927756654</c:v>
                </c:pt>
                <c:pt idx="263">
                  <c:v>1918.8068181818182</c:v>
                </c:pt>
                <c:pt idx="264">
                  <c:v>1918.8113207547169</c:v>
                </c:pt>
                <c:pt idx="265">
                  <c:v>1918.8157894736842</c:v>
                </c:pt>
                <c:pt idx="266">
                  <c:v>1918.8202247191011</c:v>
                </c:pt>
                <c:pt idx="267">
                  <c:v>1918.8246268656717</c:v>
                </c:pt>
                <c:pt idx="268">
                  <c:v>1918.8289962825279</c:v>
                </c:pt>
                <c:pt idx="269">
                  <c:v>1918.8333333333333</c:v>
                </c:pt>
                <c:pt idx="270">
                  <c:v>1918.8376383763837</c:v>
                </c:pt>
                <c:pt idx="271">
                  <c:v>1918.8419117647059</c:v>
                </c:pt>
                <c:pt idx="272">
                  <c:v>1918.8461538461538</c:v>
                </c:pt>
                <c:pt idx="273">
                  <c:v>1918.8503649635036</c:v>
                </c:pt>
                <c:pt idx="274">
                  <c:v>1918.8545454545454</c:v>
                </c:pt>
                <c:pt idx="275">
                  <c:v>1918.858695652174</c:v>
                </c:pt>
                <c:pt idx="276">
                  <c:v>1918.8628158844765</c:v>
                </c:pt>
                <c:pt idx="277">
                  <c:v>1918.8669064748201</c:v>
                </c:pt>
                <c:pt idx="278">
                  <c:v>1918.8709677419354</c:v>
                </c:pt>
                <c:pt idx="279">
                  <c:v>1918.875</c:v>
                </c:pt>
                <c:pt idx="280">
                  <c:v>1918.8790035587188</c:v>
                </c:pt>
                <c:pt idx="281">
                  <c:v>1918.8652482269504</c:v>
                </c:pt>
                <c:pt idx="282">
                  <c:v>1918.86925795053</c:v>
                </c:pt>
                <c:pt idx="283">
                  <c:v>1918.8732394366198</c:v>
                </c:pt>
                <c:pt idx="284">
                  <c:v>1918.8771929824561</c:v>
                </c:pt>
                <c:pt idx="285">
                  <c:v>1918.8811188811189</c:v>
                </c:pt>
                <c:pt idx="286">
                  <c:v>1918.8850174216027</c:v>
                </c:pt>
                <c:pt idx="287">
                  <c:v>1918.8888888888889</c:v>
                </c:pt>
                <c:pt idx="288">
                  <c:v>1918.892733564014</c:v>
                </c:pt>
                <c:pt idx="289">
                  <c:v>1918.8965517241379</c:v>
                </c:pt>
                <c:pt idx="290">
                  <c:v>1918.8831615120275</c:v>
                </c:pt>
                <c:pt idx="291">
                  <c:v>1918.8869863013699</c:v>
                </c:pt>
                <c:pt idx="292">
                  <c:v>1918.8907849829352</c:v>
                </c:pt>
                <c:pt idx="293">
                  <c:v>1918.8945578231292</c:v>
                </c:pt>
                <c:pt idx="294">
                  <c:v>1918.8983050847457</c:v>
                </c:pt>
                <c:pt idx="295">
                  <c:v>1918.9020270270271</c:v>
                </c:pt>
                <c:pt idx="296">
                  <c:v>1918.8888888888889</c:v>
                </c:pt>
                <c:pt idx="297">
                  <c:v>1918.8926174496644</c:v>
                </c:pt>
                <c:pt idx="298">
                  <c:v>1918.8963210702341</c:v>
                </c:pt>
                <c:pt idx="299">
                  <c:v>1918.8833333333334</c:v>
                </c:pt>
                <c:pt idx="300">
                  <c:v>1918.8870431893688</c:v>
                </c:pt>
                <c:pt idx="301">
                  <c:v>1918.8907284768211</c:v>
                </c:pt>
                <c:pt idx="302">
                  <c:v>1918.8943894389438</c:v>
                </c:pt>
                <c:pt idx="303">
                  <c:v>1918.8980263157894</c:v>
                </c:pt>
                <c:pt idx="304">
                  <c:v>1918.8852459016393</c:v>
                </c:pt>
                <c:pt idx="305">
                  <c:v>1918.8888888888889</c:v>
                </c:pt>
                <c:pt idx="306">
                  <c:v>1918.8925081433224</c:v>
                </c:pt>
                <c:pt idx="307">
                  <c:v>1918.8961038961038</c:v>
                </c:pt>
                <c:pt idx="308">
                  <c:v>1918.8996763754046</c:v>
                </c:pt>
                <c:pt idx="309">
                  <c:v>1918.9032258064517</c:v>
                </c:pt>
                <c:pt idx="310">
                  <c:v>1918.8906752411576</c:v>
                </c:pt>
                <c:pt idx="311">
                  <c:v>1918.8942307692307</c:v>
                </c:pt>
                <c:pt idx="312">
                  <c:v>1918.8977635782749</c:v>
                </c:pt>
                <c:pt idx="313">
                  <c:v>1918.9012738853503</c:v>
                </c:pt>
                <c:pt idx="314">
                  <c:v>1918.9047619047619</c:v>
                </c:pt>
                <c:pt idx="315">
                  <c:v>1918.9082278481012</c:v>
                </c:pt>
                <c:pt idx="316">
                  <c:v>1918.9116719242902</c:v>
                </c:pt>
                <c:pt idx="317">
                  <c:v>1918.8993710691823</c:v>
                </c:pt>
                <c:pt idx="318">
                  <c:v>1918.9028213166143</c:v>
                </c:pt>
                <c:pt idx="319">
                  <c:v>1918.90625</c:v>
                </c:pt>
                <c:pt idx="320">
                  <c:v>1918.9096573208724</c:v>
                </c:pt>
                <c:pt idx="321">
                  <c:v>1918.9130434782608</c:v>
                </c:pt>
                <c:pt idx="322">
                  <c:v>1918.9009287925696</c:v>
                </c:pt>
                <c:pt idx="323">
                  <c:v>1918.8888888888889</c:v>
                </c:pt>
                <c:pt idx="324">
                  <c:v>1918.8923076923077</c:v>
                </c:pt>
                <c:pt idx="325">
                  <c:v>1918.8957055214723</c:v>
                </c:pt>
                <c:pt idx="326">
                  <c:v>1918.8837920489298</c:v>
                </c:pt>
                <c:pt idx="327">
                  <c:v>1918.8719512195121</c:v>
                </c:pt>
                <c:pt idx="328">
                  <c:v>1918.8753799392098</c:v>
                </c:pt>
                <c:pt idx="329">
                  <c:v>1918.878787878788</c:v>
                </c:pt>
                <c:pt idx="330">
                  <c:v>1918.882175226586</c:v>
                </c:pt>
                <c:pt idx="331">
                  <c:v>1918.8855421686746</c:v>
                </c:pt>
                <c:pt idx="332">
                  <c:v>1918.8888888888889</c:v>
                </c:pt>
                <c:pt idx="333">
                  <c:v>1918.8922155688622</c:v>
                </c:pt>
                <c:pt idx="334">
                  <c:v>1918.8955223880596</c:v>
                </c:pt>
                <c:pt idx="335">
                  <c:v>1918.8988095238096</c:v>
                </c:pt>
                <c:pt idx="336">
                  <c:v>1918.9020771513353</c:v>
                </c:pt>
                <c:pt idx="337">
                  <c:v>1918.905325443787</c:v>
                </c:pt>
                <c:pt idx="338">
                  <c:v>1918.9085545722714</c:v>
                </c:pt>
                <c:pt idx="339">
                  <c:v>1918.8970588235295</c:v>
                </c:pt>
                <c:pt idx="340">
                  <c:v>1918.9002932551321</c:v>
                </c:pt>
                <c:pt idx="341">
                  <c:v>1918.9035087719299</c:v>
                </c:pt>
                <c:pt idx="342">
                  <c:v>1918.8921282798833</c:v>
                </c:pt>
                <c:pt idx="343">
                  <c:v>1918.8953488372092</c:v>
                </c:pt>
                <c:pt idx="344">
                  <c:v>1918.8985507246377</c:v>
                </c:pt>
                <c:pt idx="345">
                  <c:v>1918.8872832369941</c:v>
                </c:pt>
                <c:pt idx="346">
                  <c:v>1918.8904899135446</c:v>
                </c:pt>
                <c:pt idx="347">
                  <c:v>1918.8936781609195</c:v>
                </c:pt>
                <c:pt idx="348">
                  <c:v>1918.8968481375359</c:v>
                </c:pt>
                <c:pt idx="349">
                  <c:v>1918.9</c:v>
                </c:pt>
                <c:pt idx="350">
                  <c:v>1918.9031339031339</c:v>
                </c:pt>
                <c:pt idx="351">
                  <c:v>1918.90625</c:v>
                </c:pt>
                <c:pt idx="352">
                  <c:v>1918.8951841359774</c:v>
                </c:pt>
                <c:pt idx="353">
                  <c:v>1918.8983050847457</c:v>
                </c:pt>
                <c:pt idx="354">
                  <c:v>1918.8873239436621</c:v>
                </c:pt>
                <c:pt idx="355">
                  <c:v>1918.8904494382023</c:v>
                </c:pt>
                <c:pt idx="356">
                  <c:v>1918.8935574229693</c:v>
                </c:pt>
                <c:pt idx="357">
                  <c:v>1918.8826815642458</c:v>
                </c:pt>
                <c:pt idx="358">
                  <c:v>1918.8718662952647</c:v>
                </c:pt>
                <c:pt idx="359">
                  <c:v>1918.875</c:v>
                </c:pt>
                <c:pt idx="360">
                  <c:v>1918.8781163434903</c:v>
                </c:pt>
                <c:pt idx="361">
                  <c:v>1918.8674033149171</c:v>
                </c:pt>
                <c:pt idx="362">
                  <c:v>1918.8567493112948</c:v>
                </c:pt>
                <c:pt idx="363">
                  <c:v>1918.8461538461538</c:v>
                </c:pt>
                <c:pt idx="364">
                  <c:v>1918.8493150684931</c:v>
                </c:pt>
                <c:pt idx="365">
                  <c:v>1918.8524590163934</c:v>
                </c:pt>
                <c:pt idx="366">
                  <c:v>1918.841961852861</c:v>
                </c:pt>
                <c:pt idx="367">
                  <c:v>1918.8315217391305</c:v>
                </c:pt>
                <c:pt idx="368">
                  <c:v>1918.8346883468835</c:v>
                </c:pt>
                <c:pt idx="369">
                  <c:v>1918.8243243243244</c:v>
                </c:pt>
                <c:pt idx="370">
                  <c:v>1918.8140161725066</c:v>
                </c:pt>
                <c:pt idx="371">
                  <c:v>1918.8172043010752</c:v>
                </c:pt>
                <c:pt idx="372">
                  <c:v>1918.8069705093833</c:v>
                </c:pt>
                <c:pt idx="373">
                  <c:v>1918.7967914438502</c:v>
                </c:pt>
                <c:pt idx="374">
                  <c:v>1918.8</c:v>
                </c:pt>
                <c:pt idx="375">
                  <c:v>1918.7898936170213</c:v>
                </c:pt>
                <c:pt idx="376">
                  <c:v>1918.7798408488063</c:v>
                </c:pt>
                <c:pt idx="377">
                  <c:v>1918.7830687830688</c:v>
                </c:pt>
                <c:pt idx="378">
                  <c:v>1918.7730870712401</c:v>
                </c:pt>
                <c:pt idx="379">
                  <c:v>1918.7631578947369</c:v>
                </c:pt>
                <c:pt idx="380">
                  <c:v>1918.7664041994751</c:v>
                </c:pt>
                <c:pt idx="381">
                  <c:v>1918.7565445026178</c:v>
                </c:pt>
                <c:pt idx="382">
                  <c:v>1918.7467362924283</c:v>
                </c:pt>
                <c:pt idx="383">
                  <c:v>1918.75</c:v>
                </c:pt>
                <c:pt idx="384">
                  <c:v>1918.7532467532467</c:v>
                </c:pt>
                <c:pt idx="385">
                  <c:v>1918.7435233160622</c:v>
                </c:pt>
                <c:pt idx="386">
                  <c:v>1918.7467700258399</c:v>
                </c:pt>
                <c:pt idx="387">
                  <c:v>1918.7371134020618</c:v>
                </c:pt>
                <c:pt idx="388">
                  <c:v>1918.7403598971723</c:v>
                </c:pt>
                <c:pt idx="389">
                  <c:v>1918.7435897435898</c:v>
                </c:pt>
                <c:pt idx="390">
                  <c:v>1918.7468030690536</c:v>
                </c:pt>
                <c:pt idx="391">
                  <c:v>1918.7372448979593</c:v>
                </c:pt>
                <c:pt idx="392">
                  <c:v>1918.7277353689567</c:v>
                </c:pt>
                <c:pt idx="393">
                  <c:v>1918.7182741116751</c:v>
                </c:pt>
                <c:pt idx="394">
                  <c:v>1918.7088607594937</c:v>
                </c:pt>
                <c:pt idx="395">
                  <c:v>1918.6994949494949</c:v>
                </c:pt>
                <c:pt idx="396">
                  <c:v>1918.7027707808563</c:v>
                </c:pt>
                <c:pt idx="397">
                  <c:v>1918.6934673366834</c:v>
                </c:pt>
                <c:pt idx="398">
                  <c:v>1918.6842105263158</c:v>
                </c:pt>
                <c:pt idx="399">
                  <c:v>1918.675</c:v>
                </c:pt>
                <c:pt idx="400">
                  <c:v>1918.6783042394015</c:v>
                </c:pt>
                <c:pt idx="401">
                  <c:v>1918.6691542288556</c:v>
                </c:pt>
                <c:pt idx="402">
                  <c:v>1918.6600496277915</c:v>
                </c:pt>
                <c:pt idx="403">
                  <c:v>1918.65099009901</c:v>
                </c:pt>
                <c:pt idx="404">
                  <c:v>1918.6543209876543</c:v>
                </c:pt>
                <c:pt idx="405">
                  <c:v>1918.6453201970444</c:v>
                </c:pt>
                <c:pt idx="406">
                  <c:v>1918.6363636363637</c:v>
                </c:pt>
                <c:pt idx="407">
                  <c:v>1918.6274509803923</c:v>
                </c:pt>
                <c:pt idx="408">
                  <c:v>1918.6308068459657</c:v>
                </c:pt>
                <c:pt idx="409">
                  <c:v>1918.6219512195121</c:v>
                </c:pt>
                <c:pt idx="410">
                  <c:v>1918.6253041362531</c:v>
                </c:pt>
                <c:pt idx="411">
                  <c:v>1918.6165048543689</c:v>
                </c:pt>
                <c:pt idx="412">
                  <c:v>1918.6077481840193</c:v>
                </c:pt>
                <c:pt idx="413">
                  <c:v>1918.5990338164252</c:v>
                </c:pt>
                <c:pt idx="414">
                  <c:v>1918.5903614457832</c:v>
                </c:pt>
                <c:pt idx="415">
                  <c:v>1918.5817307692307</c:v>
                </c:pt>
                <c:pt idx="416">
                  <c:v>1918.5731414868105</c:v>
                </c:pt>
                <c:pt idx="417">
                  <c:v>1918.5645933014355</c:v>
                </c:pt>
                <c:pt idx="418">
                  <c:v>1918.5560859188545</c:v>
                </c:pt>
                <c:pt idx="419">
                  <c:v>1918.5595238095239</c:v>
                </c:pt>
                <c:pt idx="420">
                  <c:v>1918.5629453681711</c:v>
                </c:pt>
                <c:pt idx="421">
                  <c:v>1918.5545023696682</c:v>
                </c:pt>
                <c:pt idx="422">
                  <c:v>1918.5460992907801</c:v>
                </c:pt>
                <c:pt idx="423">
                  <c:v>1918.5377358490566</c:v>
                </c:pt>
                <c:pt idx="424">
                  <c:v>1918.5294117647059</c:v>
                </c:pt>
                <c:pt idx="425">
                  <c:v>1918.5211267605634</c:v>
                </c:pt>
                <c:pt idx="426">
                  <c:v>1918.5128805620609</c:v>
                </c:pt>
                <c:pt idx="427">
                  <c:v>1918.5046728971963</c:v>
                </c:pt>
                <c:pt idx="428">
                  <c:v>1918.4965034965035</c:v>
                </c:pt>
                <c:pt idx="429">
                  <c:v>1918.4883720930231</c:v>
                </c:pt>
                <c:pt idx="430">
                  <c:v>1918.491879350348</c:v>
                </c:pt>
                <c:pt idx="431">
                  <c:v>1918.4837962962963</c:v>
                </c:pt>
                <c:pt idx="432">
                  <c:v>1918.4872979214781</c:v>
                </c:pt>
                <c:pt idx="433">
                  <c:v>1918.479262672811</c:v>
                </c:pt>
                <c:pt idx="434">
                  <c:v>1918.471264367816</c:v>
                </c:pt>
                <c:pt idx="435">
                  <c:v>1918.4633027522937</c:v>
                </c:pt>
                <c:pt idx="436">
                  <c:v>1918.4553775743707</c:v>
                </c:pt>
                <c:pt idx="437">
                  <c:v>1918.447488584475</c:v>
                </c:pt>
                <c:pt idx="438">
                  <c:v>1918.4396355353076</c:v>
                </c:pt>
                <c:pt idx="439">
                  <c:v>1918.4431818181818</c:v>
                </c:pt>
                <c:pt idx="440">
                  <c:v>1918.4467120181405</c:v>
                </c:pt>
                <c:pt idx="441">
                  <c:v>1918.4389140271494</c:v>
                </c:pt>
                <c:pt idx="442">
                  <c:v>1918.431151241535</c:v>
                </c:pt>
                <c:pt idx="443">
                  <c:v>1918.4346846846847</c:v>
                </c:pt>
                <c:pt idx="444">
                  <c:v>1918.4382022471909</c:v>
                </c:pt>
                <c:pt idx="445">
                  <c:v>1918.4417040358744</c:v>
                </c:pt>
                <c:pt idx="446">
                  <c:v>1918.434004474273</c:v>
                </c:pt>
                <c:pt idx="447">
                  <c:v>1918.4263392857142</c:v>
                </c:pt>
                <c:pt idx="448">
                  <c:v>1918.4298440979956</c:v>
                </c:pt>
                <c:pt idx="449">
                  <c:v>1918.4222222222222</c:v>
                </c:pt>
                <c:pt idx="450">
                  <c:v>1918.4146341463415</c:v>
                </c:pt>
                <c:pt idx="451">
                  <c:v>1918.4070796460178</c:v>
                </c:pt>
                <c:pt idx="452">
                  <c:v>1918.3995584988963</c:v>
                </c:pt>
                <c:pt idx="453">
                  <c:v>1918.3920704845816</c:v>
                </c:pt>
                <c:pt idx="454">
                  <c:v>1918.3846153846155</c:v>
                </c:pt>
                <c:pt idx="455">
                  <c:v>1918.3771929824561</c:v>
                </c:pt>
                <c:pt idx="456">
                  <c:v>1918.3698030634573</c:v>
                </c:pt>
                <c:pt idx="457">
                  <c:v>1918.3515283842794</c:v>
                </c:pt>
                <c:pt idx="458">
                  <c:v>1918.3333333333333</c:v>
                </c:pt>
                <c:pt idx="459">
                  <c:v>1918.3152173913043</c:v>
                </c:pt>
                <c:pt idx="460">
                  <c:v>1918.2971800433841</c:v>
                </c:pt>
                <c:pt idx="461">
                  <c:v>1918.2792207792209</c:v>
                </c:pt>
                <c:pt idx="462">
                  <c:v>1918.2613390928725</c:v>
                </c:pt>
                <c:pt idx="463">
                  <c:v>1918.2435344827586</c:v>
                </c:pt>
                <c:pt idx="464">
                  <c:v>1918.2258064516129</c:v>
                </c:pt>
                <c:pt idx="465">
                  <c:v>1918.2081545064377</c:v>
                </c:pt>
                <c:pt idx="466">
                  <c:v>1918.1905781584583</c:v>
                </c:pt>
                <c:pt idx="467">
                  <c:v>1918.1730769230769</c:v>
                </c:pt>
                <c:pt idx="468">
                  <c:v>1918.1663113006396</c:v>
                </c:pt>
                <c:pt idx="469">
                  <c:v>1918.1595744680851</c:v>
                </c:pt>
                <c:pt idx="470">
                  <c:v>1918.1422505307855</c:v>
                </c:pt>
                <c:pt idx="471">
                  <c:v>1918.125</c:v>
                </c:pt>
                <c:pt idx="472">
                  <c:v>1918.1078224101479</c:v>
                </c:pt>
                <c:pt idx="473">
                  <c:v>1918.090717299578</c:v>
                </c:pt>
                <c:pt idx="474">
                  <c:v>1918.0736842105264</c:v>
                </c:pt>
                <c:pt idx="475">
                  <c:v>1918.0567226890757</c:v>
                </c:pt>
                <c:pt idx="476">
                  <c:v>1918.0398322851154</c:v>
                </c:pt>
                <c:pt idx="477">
                  <c:v>1918.0230125523012</c:v>
                </c:pt>
                <c:pt idx="478">
                  <c:v>1918.0062630480168</c:v>
                </c:pt>
                <c:pt idx="479">
                  <c:v>1917.9895833333333</c:v>
                </c:pt>
                <c:pt idx="480">
                  <c:v>1917.9729729729729</c:v>
                </c:pt>
                <c:pt idx="481">
                  <c:v>1917.9564315352698</c:v>
                </c:pt>
                <c:pt idx="482">
                  <c:v>1917.9399585921326</c:v>
                </c:pt>
                <c:pt idx="483">
                  <c:v>1917.9235537190082</c:v>
                </c:pt>
                <c:pt idx="484">
                  <c:v>1917.9072164948454</c:v>
                </c:pt>
                <c:pt idx="485">
                  <c:v>1917.8909465020577</c:v>
                </c:pt>
                <c:pt idx="486">
                  <c:v>1917.8747433264887</c:v>
                </c:pt>
                <c:pt idx="487">
                  <c:v>1917.858606557377</c:v>
                </c:pt>
                <c:pt idx="488">
                  <c:v>1917.8425357873211</c:v>
                </c:pt>
                <c:pt idx="489">
                  <c:v>1917.8265306122448</c:v>
                </c:pt>
                <c:pt idx="490">
                  <c:v>1917.8105906313647</c:v>
                </c:pt>
                <c:pt idx="491">
                  <c:v>1917.7947154471544</c:v>
                </c:pt>
                <c:pt idx="492">
                  <c:v>1917.7789046653145</c:v>
                </c:pt>
                <c:pt idx="493">
                  <c:v>1917.7631578947369</c:v>
                </c:pt>
                <c:pt idx="494">
                  <c:v>1917.7474747474748</c:v>
                </c:pt>
                <c:pt idx="495">
                  <c:v>1917.741935483871</c:v>
                </c:pt>
                <c:pt idx="496">
                  <c:v>1917.7263581488933</c:v>
                </c:pt>
                <c:pt idx="497">
                  <c:v>1917.7108433734941</c:v>
                </c:pt>
                <c:pt idx="498">
                  <c:v>1917.6953907815632</c:v>
                </c:pt>
                <c:pt idx="499">
                  <c:v>1917.68</c:v>
                </c:pt>
                <c:pt idx="500">
                  <c:v>1917.6646706586826</c:v>
                </c:pt>
                <c:pt idx="501">
                  <c:v>1917.6494023904384</c:v>
                </c:pt>
                <c:pt idx="502">
                  <c:v>1917.6341948310139</c:v>
                </c:pt>
                <c:pt idx="503">
                  <c:v>1917.6190476190477</c:v>
                </c:pt>
                <c:pt idx="504">
                  <c:v>1917.6138613861385</c:v>
                </c:pt>
                <c:pt idx="505">
                  <c:v>1917.598814229249</c:v>
                </c:pt>
                <c:pt idx="506">
                  <c:v>1917.5838264299803</c:v>
                </c:pt>
                <c:pt idx="507">
                  <c:v>1917.5787401574803</c:v>
                </c:pt>
                <c:pt idx="508">
                  <c:v>1917.5638506876228</c:v>
                </c:pt>
                <c:pt idx="509">
                  <c:v>1917.5490196078431</c:v>
                </c:pt>
                <c:pt idx="510">
                  <c:v>1917.5342465753424</c:v>
                </c:pt>
                <c:pt idx="511">
                  <c:v>1917.51953125</c:v>
                </c:pt>
                <c:pt idx="512">
                  <c:v>1917.5048732943469</c:v>
                </c:pt>
                <c:pt idx="513">
                  <c:v>1917.4902723735408</c:v>
                </c:pt>
                <c:pt idx="514">
                  <c:v>1917.4757281553398</c:v>
                </c:pt>
                <c:pt idx="515">
                  <c:v>1917.4612403100775</c:v>
                </c:pt>
                <c:pt idx="516">
                  <c:v>1917.4468085106382</c:v>
                </c:pt>
                <c:pt idx="517">
                  <c:v>1917.4227799227799</c:v>
                </c:pt>
                <c:pt idx="518">
                  <c:v>1917.4084778420038</c:v>
                </c:pt>
                <c:pt idx="519">
                  <c:v>1917.3846153846155</c:v>
                </c:pt>
                <c:pt idx="520">
                  <c:v>1917.3608445297505</c:v>
                </c:pt>
                <c:pt idx="521">
                  <c:v>1917.3371647509578</c:v>
                </c:pt>
                <c:pt idx="522">
                  <c:v>1917.3135755258127</c:v>
                </c:pt>
                <c:pt idx="523">
                  <c:v>1917.2900763358778</c:v>
                </c:pt>
                <c:pt idx="524">
                  <c:v>1917.2761904761905</c:v>
                </c:pt>
                <c:pt idx="525">
                  <c:v>1917.2528517110266</c:v>
                </c:pt>
                <c:pt idx="526">
                  <c:v>1917.2296015180266</c:v>
                </c:pt>
                <c:pt idx="527">
                  <c:v>1917.2064393939395</c:v>
                </c:pt>
                <c:pt idx="528">
                  <c:v>1917.1928166351606</c:v>
                </c:pt>
                <c:pt idx="529">
                  <c:v>1917.1698113207547</c:v>
                </c:pt>
                <c:pt idx="530">
                  <c:v>1917.1468926553673</c:v>
                </c:pt>
                <c:pt idx="531">
                  <c:v>1917.124060150376</c:v>
                </c:pt>
                <c:pt idx="532">
                  <c:v>1917.1013133208255</c:v>
                </c:pt>
                <c:pt idx="533">
                  <c:v>1917.0786516853932</c:v>
                </c:pt>
                <c:pt idx="534">
                  <c:v>1917.0560747663551</c:v>
                </c:pt>
                <c:pt idx="535">
                  <c:v>1917.0335820895523</c:v>
                </c:pt>
                <c:pt idx="536">
                  <c:v>1917.0111731843576</c:v>
                </c:pt>
                <c:pt idx="537">
                  <c:v>1916.9888475836431</c:v>
                </c:pt>
                <c:pt idx="538">
                  <c:v>1916.9758812615955</c:v>
                </c:pt>
                <c:pt idx="539">
                  <c:v>1916.9537037037037</c:v>
                </c:pt>
                <c:pt idx="540">
                  <c:v>1916.9408502772644</c:v>
                </c:pt>
                <c:pt idx="541">
                  <c:v>1916.9188191881919</c:v>
                </c:pt>
                <c:pt idx="542">
                  <c:v>1916.8968692449355</c:v>
                </c:pt>
                <c:pt idx="543">
                  <c:v>1916.875</c:v>
                </c:pt>
                <c:pt idx="544">
                  <c:v>1916.8623853211009</c:v>
                </c:pt>
                <c:pt idx="545">
                  <c:v>1916.8406593406594</c:v>
                </c:pt>
                <c:pt idx="546">
                  <c:v>1916.8190127970749</c:v>
                </c:pt>
                <c:pt idx="547">
                  <c:v>1916.7974452554745</c:v>
                </c:pt>
                <c:pt idx="548">
                  <c:v>1916.7759562841529</c:v>
                </c:pt>
                <c:pt idx="549">
                  <c:v>1916.7545454545455</c:v>
                </c:pt>
                <c:pt idx="550">
                  <c:v>1916.7332123411977</c:v>
                </c:pt>
                <c:pt idx="551">
                  <c:v>1916.7210144927535</c:v>
                </c:pt>
                <c:pt idx="552">
                  <c:v>1916.7088607594937</c:v>
                </c:pt>
                <c:pt idx="553">
                  <c:v>1916.6877256317689</c:v>
                </c:pt>
                <c:pt idx="554">
                  <c:v>1916.6756756756756</c:v>
                </c:pt>
                <c:pt idx="555">
                  <c:v>1916.6546762589928</c:v>
                </c:pt>
                <c:pt idx="556">
                  <c:v>1916.6337522441652</c:v>
                </c:pt>
                <c:pt idx="557">
                  <c:v>1916.6218637992831</c:v>
                </c:pt>
                <c:pt idx="558">
                  <c:v>1916.6010733452595</c:v>
                </c:pt>
                <c:pt idx="559">
                  <c:v>1916.5803571428571</c:v>
                </c:pt>
                <c:pt idx="560">
                  <c:v>1916.5686274509803</c:v>
                </c:pt>
                <c:pt idx="561">
                  <c:v>1916.5480427046264</c:v>
                </c:pt>
                <c:pt idx="562">
                  <c:v>1916.5275310834813</c:v>
                </c:pt>
                <c:pt idx="563">
                  <c:v>1916.5159574468084</c:v>
                </c:pt>
                <c:pt idx="564">
                  <c:v>1916.5044247787609</c:v>
                </c:pt>
                <c:pt idx="565">
                  <c:v>1916.4840989399293</c:v>
                </c:pt>
                <c:pt idx="566">
                  <c:v>1916.4726631393298</c:v>
                </c:pt>
                <c:pt idx="567">
                  <c:v>1916.4524647887324</c:v>
                </c:pt>
                <c:pt idx="568">
                  <c:v>1916.432337434095</c:v>
                </c:pt>
                <c:pt idx="569">
                  <c:v>1916.421052631579</c:v>
                </c:pt>
                <c:pt idx="570">
                  <c:v>1916.401050788091</c:v>
                </c:pt>
                <c:pt idx="571">
                  <c:v>1916.3811188811189</c:v>
                </c:pt>
                <c:pt idx="572">
                  <c:v>1916.369982547993</c:v>
                </c:pt>
                <c:pt idx="573">
                  <c:v>1916.3501742160279</c:v>
                </c:pt>
                <c:pt idx="574">
                  <c:v>1916.3304347826088</c:v>
                </c:pt>
                <c:pt idx="575">
                  <c:v>1916.3107638888889</c:v>
                </c:pt>
                <c:pt idx="576">
                  <c:v>1916.2998266897746</c:v>
                </c:pt>
                <c:pt idx="577">
                  <c:v>1916.2802768166091</c:v>
                </c:pt>
                <c:pt idx="578">
                  <c:v>1916.2607944732297</c:v>
                </c:pt>
                <c:pt idx="579">
                  <c:v>1916.2413793103449</c:v>
                </c:pt>
                <c:pt idx="580">
                  <c:v>1916.2220309810671</c:v>
                </c:pt>
                <c:pt idx="581">
                  <c:v>1916.2027491408935</c:v>
                </c:pt>
                <c:pt idx="582">
                  <c:v>1916.1835334476843</c:v>
                </c:pt>
                <c:pt idx="583">
                  <c:v>1916.1643835616439</c:v>
                </c:pt>
                <c:pt idx="584">
                  <c:v>1916.1452991452991</c:v>
                </c:pt>
                <c:pt idx="585">
                  <c:v>1916.1262798634812</c:v>
                </c:pt>
                <c:pt idx="586">
                  <c:v>1916.1073253833049</c:v>
                </c:pt>
                <c:pt idx="587">
                  <c:v>1916.0884353741496</c:v>
                </c:pt>
                <c:pt idx="588">
                  <c:v>1916.0696095076401</c:v>
                </c:pt>
                <c:pt idx="589">
                  <c:v>1916.050847457627</c:v>
                </c:pt>
                <c:pt idx="590">
                  <c:v>1916.0321489001692</c:v>
                </c:pt>
                <c:pt idx="591">
                  <c:v>1916.0135135135135</c:v>
                </c:pt>
                <c:pt idx="592">
                  <c:v>1915.9949409780775</c:v>
                </c:pt>
                <c:pt idx="593">
                  <c:v>1915.9764309764309</c:v>
                </c:pt>
                <c:pt idx="594">
                  <c:v>1915.9579831932774</c:v>
                </c:pt>
                <c:pt idx="595">
                  <c:v>1915.9395973154362</c:v>
                </c:pt>
                <c:pt idx="596">
                  <c:v>1915.929648241206</c:v>
                </c:pt>
                <c:pt idx="597">
                  <c:v>1915.9197324414715</c:v>
                </c:pt>
                <c:pt idx="598">
                  <c:v>1915.9015025041735</c:v>
                </c:pt>
                <c:pt idx="599">
                  <c:v>1915.8833333333334</c:v>
                </c:pt>
                <c:pt idx="600">
                  <c:v>1915.873544093178</c:v>
                </c:pt>
                <c:pt idx="601">
                  <c:v>1915.8637873754153</c:v>
                </c:pt>
                <c:pt idx="602">
                  <c:v>1915.8540630182422</c:v>
                </c:pt>
                <c:pt idx="603">
                  <c:v>1915.8443708609273</c:v>
                </c:pt>
                <c:pt idx="604">
                  <c:v>1915.8264462809918</c:v>
                </c:pt>
                <c:pt idx="605">
                  <c:v>1915.8168316831684</c:v>
                </c:pt>
                <c:pt idx="606">
                  <c:v>1915.8072487644151</c:v>
                </c:pt>
                <c:pt idx="607">
                  <c:v>1915.7894736842106</c:v>
                </c:pt>
                <c:pt idx="608">
                  <c:v>1915.7717569786535</c:v>
                </c:pt>
                <c:pt idx="609">
                  <c:v>1915.7540983606557</c:v>
                </c:pt>
                <c:pt idx="610">
                  <c:v>1915.7364975450082</c:v>
                </c:pt>
                <c:pt idx="611">
                  <c:v>1915.7271241830065</c:v>
                </c:pt>
                <c:pt idx="612">
                  <c:v>1915.7177814029365</c:v>
                </c:pt>
                <c:pt idx="613">
                  <c:v>1915.7084690553745</c:v>
                </c:pt>
                <c:pt idx="614">
                  <c:v>1915.6910569105692</c:v>
                </c:pt>
                <c:pt idx="615">
                  <c:v>1915.6818181818182</c:v>
                </c:pt>
                <c:pt idx="616">
                  <c:v>1915.6726094003241</c:v>
                </c:pt>
                <c:pt idx="617">
                  <c:v>1915.6634304207121</c:v>
                </c:pt>
                <c:pt idx="618">
                  <c:v>1915.6462035541194</c:v>
                </c:pt>
                <c:pt idx="619">
                  <c:v>1915.6290322580646</c:v>
                </c:pt>
                <c:pt idx="620">
                  <c:v>1915.6119162640903</c:v>
                </c:pt>
                <c:pt idx="621">
                  <c:v>1915.5948553054661</c:v>
                </c:pt>
                <c:pt idx="622">
                  <c:v>1915.577849117175</c:v>
                </c:pt>
                <c:pt idx="623">
                  <c:v>1915.5689102564102</c:v>
                </c:pt>
                <c:pt idx="624">
                  <c:v>1915.56</c:v>
                </c:pt>
                <c:pt idx="625">
                  <c:v>1915.5511182108626</c:v>
                </c:pt>
                <c:pt idx="626">
                  <c:v>1915.5263157894738</c:v>
                </c:pt>
                <c:pt idx="627">
                  <c:v>1915.501592356688</c:v>
                </c:pt>
                <c:pt idx="628">
                  <c:v>1915.4848966613672</c:v>
                </c:pt>
                <c:pt idx="629">
                  <c:v>1915.4603174603174</c:v>
                </c:pt>
                <c:pt idx="630">
                  <c:v>1915.4358161648177</c:v>
                </c:pt>
                <c:pt idx="631">
                  <c:v>1915.4193037974683</c:v>
                </c:pt>
                <c:pt idx="632">
                  <c:v>1915.3949447077409</c:v>
                </c:pt>
                <c:pt idx="633">
                  <c:v>1915.3706624605679</c:v>
                </c:pt>
                <c:pt idx="634">
                  <c:v>1915.3543307086613</c:v>
                </c:pt>
                <c:pt idx="635">
                  <c:v>1915.3301886792453</c:v>
                </c:pt>
                <c:pt idx="636">
                  <c:v>1915.3139717425431</c:v>
                </c:pt>
                <c:pt idx="637">
                  <c:v>1915.2978056426332</c:v>
                </c:pt>
                <c:pt idx="638">
                  <c:v>1915.2738654147104</c:v>
                </c:pt>
                <c:pt idx="639">
                  <c:v>1915.25</c:v>
                </c:pt>
                <c:pt idx="640">
                  <c:v>1915.2262090483619</c:v>
                </c:pt>
                <c:pt idx="641">
                  <c:v>1915.2102803738317</c:v>
                </c:pt>
                <c:pt idx="642">
                  <c:v>1915.1866251944011</c:v>
                </c:pt>
                <c:pt idx="643">
                  <c:v>1915.1630434782608</c:v>
                </c:pt>
                <c:pt idx="644">
                  <c:v>1915.1395348837209</c:v>
                </c:pt>
                <c:pt idx="645">
                  <c:v>1915.1160990712074</c:v>
                </c:pt>
                <c:pt idx="646">
                  <c:v>1915.0927357032458</c:v>
                </c:pt>
                <c:pt idx="647">
                  <c:v>1915.0771604938273</c:v>
                </c:pt>
                <c:pt idx="648">
                  <c:v>1915.0539291217258</c:v>
                </c:pt>
                <c:pt idx="649">
                  <c:v>1915.0307692307692</c:v>
                </c:pt>
                <c:pt idx="650">
                  <c:v>1915.0153609831029</c:v>
                </c:pt>
                <c:pt idx="651">
                  <c:v>1914.9923312883436</c:v>
                </c:pt>
                <c:pt idx="652">
                  <c:v>1914.9693721286371</c:v>
                </c:pt>
                <c:pt idx="653">
                  <c:v>1914.9464831804282</c:v>
                </c:pt>
                <c:pt idx="654">
                  <c:v>1914.9312977099237</c:v>
                </c:pt>
                <c:pt idx="655">
                  <c:v>1914.9085365853659</c:v>
                </c:pt>
                <c:pt idx="656">
                  <c:v>1914.8934550989345</c:v>
                </c:pt>
                <c:pt idx="657">
                  <c:v>1914.8708206686931</c:v>
                </c:pt>
                <c:pt idx="658">
                  <c:v>1914.8558421851289</c:v>
                </c:pt>
                <c:pt idx="659">
                  <c:v>1914.8333333333333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35-43C9-B25B-C1588BD4283F}"/>
            </c:ext>
          </c:extLst>
        </c:ser>
        <c:marker val="1"/>
        <c:axId val="322554496"/>
        <c:axId val="323068288"/>
      </c:lineChart>
      <c:catAx>
        <c:axId val="322554496"/>
        <c:scaling>
          <c:orientation val="minMax"/>
        </c:scaling>
        <c:delete val="1"/>
        <c:axPos val="b"/>
        <c:numFmt formatCode="General" sourceLinked="1"/>
        <c:tickLblPos val="nextTo"/>
        <c:crossAx val="323068288"/>
        <c:crosses val="autoZero"/>
        <c:auto val="1"/>
        <c:lblAlgn val="ctr"/>
        <c:lblOffset val="100"/>
        <c:tickMarkSkip val="60"/>
      </c:catAx>
      <c:valAx>
        <c:axId val="323068288"/>
        <c:scaling>
          <c:orientation val="minMax"/>
        </c:scaling>
        <c:axPos val="l"/>
        <c:majorGridlines/>
        <c:numFmt formatCode="General" sourceLinked="1"/>
        <c:tickLblPos val="nextTo"/>
        <c:crossAx val="322554496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0.16554430641918341"/>
          <c:y val="2.295216359728668E-3"/>
          <c:w val="0.75140064741035861"/>
          <c:h val="0.16310790374222175"/>
        </c:manualLayout>
      </c:layout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40000"/>
        <a:lumOff val="60000"/>
      </a:schemeClr>
    </a:solidFill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1744617161701019"/>
          <c:y val="0.14911571070904939"/>
          <c:w val="0.87225978165518026"/>
          <c:h val="0.78799074594551322"/>
        </c:manualLayout>
      </c:layout>
      <c:lineChart>
        <c:grouping val="standard"/>
        <c:ser>
          <c:idx val="0"/>
          <c:order val="0"/>
          <c:tx>
            <c:strRef>
              <c:f>結算估價!$F$1</c:f>
              <c:strCache>
                <c:ptCount val="1"/>
                <c:pt idx="0">
                  <c:v>聯發科</c:v>
                </c:pt>
              </c:strCache>
            </c:strRef>
          </c:tx>
          <c:marker>
            <c:symbol val="none"/>
          </c:marker>
          <c:cat>
            <c:numRef>
              <c:f>結算估價!$D$6:$D$666</c:f>
              <c:numCache>
                <c:formatCode>General</c:formatCode>
                <c:ptCount val="661"/>
                <c:pt idx="0">
                  <c:v>123000</c:v>
                </c:pt>
                <c:pt idx="1">
                  <c:v>123005</c:v>
                </c:pt>
                <c:pt idx="2">
                  <c:v>123010</c:v>
                </c:pt>
                <c:pt idx="3">
                  <c:v>123015</c:v>
                </c:pt>
                <c:pt idx="4">
                  <c:v>123020</c:v>
                </c:pt>
                <c:pt idx="5">
                  <c:v>123025</c:v>
                </c:pt>
                <c:pt idx="6">
                  <c:v>123030</c:v>
                </c:pt>
                <c:pt idx="7">
                  <c:v>123035</c:v>
                </c:pt>
                <c:pt idx="8">
                  <c:v>123040</c:v>
                </c:pt>
                <c:pt idx="9">
                  <c:v>123045</c:v>
                </c:pt>
                <c:pt idx="10">
                  <c:v>123050</c:v>
                </c:pt>
                <c:pt idx="11">
                  <c:v>123055</c:v>
                </c:pt>
                <c:pt idx="12">
                  <c:v>123100</c:v>
                </c:pt>
                <c:pt idx="13">
                  <c:v>123105</c:v>
                </c:pt>
                <c:pt idx="14">
                  <c:v>123110</c:v>
                </c:pt>
                <c:pt idx="15">
                  <c:v>123115</c:v>
                </c:pt>
                <c:pt idx="16">
                  <c:v>123120</c:v>
                </c:pt>
                <c:pt idx="17">
                  <c:v>123125</c:v>
                </c:pt>
                <c:pt idx="18">
                  <c:v>123130</c:v>
                </c:pt>
                <c:pt idx="19">
                  <c:v>123135</c:v>
                </c:pt>
                <c:pt idx="20">
                  <c:v>123140</c:v>
                </c:pt>
                <c:pt idx="21">
                  <c:v>123145</c:v>
                </c:pt>
                <c:pt idx="22">
                  <c:v>123150</c:v>
                </c:pt>
                <c:pt idx="23">
                  <c:v>123155</c:v>
                </c:pt>
                <c:pt idx="24">
                  <c:v>123200</c:v>
                </c:pt>
                <c:pt idx="25">
                  <c:v>123205</c:v>
                </c:pt>
                <c:pt idx="26">
                  <c:v>123210</c:v>
                </c:pt>
                <c:pt idx="27">
                  <c:v>123215</c:v>
                </c:pt>
                <c:pt idx="28">
                  <c:v>123220</c:v>
                </c:pt>
                <c:pt idx="29">
                  <c:v>123225</c:v>
                </c:pt>
                <c:pt idx="30">
                  <c:v>123230</c:v>
                </c:pt>
                <c:pt idx="31">
                  <c:v>123235</c:v>
                </c:pt>
                <c:pt idx="32">
                  <c:v>123240</c:v>
                </c:pt>
                <c:pt idx="33">
                  <c:v>123245</c:v>
                </c:pt>
                <c:pt idx="34">
                  <c:v>123250</c:v>
                </c:pt>
                <c:pt idx="35">
                  <c:v>123255</c:v>
                </c:pt>
                <c:pt idx="36">
                  <c:v>123300</c:v>
                </c:pt>
                <c:pt idx="37">
                  <c:v>123305</c:v>
                </c:pt>
                <c:pt idx="38">
                  <c:v>123310</c:v>
                </c:pt>
                <c:pt idx="39">
                  <c:v>123315</c:v>
                </c:pt>
                <c:pt idx="40">
                  <c:v>123320</c:v>
                </c:pt>
                <c:pt idx="41">
                  <c:v>123325</c:v>
                </c:pt>
                <c:pt idx="42">
                  <c:v>123330</c:v>
                </c:pt>
                <c:pt idx="43">
                  <c:v>123335</c:v>
                </c:pt>
                <c:pt idx="44">
                  <c:v>123340</c:v>
                </c:pt>
                <c:pt idx="45">
                  <c:v>123345</c:v>
                </c:pt>
                <c:pt idx="46">
                  <c:v>123350</c:v>
                </c:pt>
                <c:pt idx="47">
                  <c:v>123355</c:v>
                </c:pt>
                <c:pt idx="48">
                  <c:v>123400</c:v>
                </c:pt>
                <c:pt idx="49">
                  <c:v>123405</c:v>
                </c:pt>
                <c:pt idx="50">
                  <c:v>123410</c:v>
                </c:pt>
                <c:pt idx="51">
                  <c:v>123415</c:v>
                </c:pt>
                <c:pt idx="52">
                  <c:v>123420</c:v>
                </c:pt>
                <c:pt idx="53">
                  <c:v>123425</c:v>
                </c:pt>
                <c:pt idx="54">
                  <c:v>123430</c:v>
                </c:pt>
                <c:pt idx="55">
                  <c:v>123435</c:v>
                </c:pt>
                <c:pt idx="56">
                  <c:v>123440</c:v>
                </c:pt>
                <c:pt idx="57">
                  <c:v>123445</c:v>
                </c:pt>
                <c:pt idx="58">
                  <c:v>123450</c:v>
                </c:pt>
                <c:pt idx="59">
                  <c:v>123455</c:v>
                </c:pt>
                <c:pt idx="60">
                  <c:v>123500</c:v>
                </c:pt>
                <c:pt idx="61">
                  <c:v>123505</c:v>
                </c:pt>
                <c:pt idx="62">
                  <c:v>123510</c:v>
                </c:pt>
                <c:pt idx="63">
                  <c:v>123515</c:v>
                </c:pt>
                <c:pt idx="64">
                  <c:v>123520</c:v>
                </c:pt>
                <c:pt idx="65">
                  <c:v>123525</c:v>
                </c:pt>
                <c:pt idx="66">
                  <c:v>123530</c:v>
                </c:pt>
                <c:pt idx="67">
                  <c:v>123535</c:v>
                </c:pt>
                <c:pt idx="68">
                  <c:v>123540</c:v>
                </c:pt>
                <c:pt idx="69">
                  <c:v>123545</c:v>
                </c:pt>
                <c:pt idx="70">
                  <c:v>123550</c:v>
                </c:pt>
                <c:pt idx="71">
                  <c:v>123555</c:v>
                </c:pt>
                <c:pt idx="72">
                  <c:v>123600</c:v>
                </c:pt>
                <c:pt idx="73">
                  <c:v>123605</c:v>
                </c:pt>
                <c:pt idx="74">
                  <c:v>123610</c:v>
                </c:pt>
                <c:pt idx="75">
                  <c:v>123615</c:v>
                </c:pt>
                <c:pt idx="76">
                  <c:v>123620</c:v>
                </c:pt>
                <c:pt idx="77">
                  <c:v>123625</c:v>
                </c:pt>
                <c:pt idx="78">
                  <c:v>123630</c:v>
                </c:pt>
                <c:pt idx="79">
                  <c:v>123635</c:v>
                </c:pt>
                <c:pt idx="80">
                  <c:v>123640</c:v>
                </c:pt>
                <c:pt idx="81">
                  <c:v>123645</c:v>
                </c:pt>
                <c:pt idx="82">
                  <c:v>123650</c:v>
                </c:pt>
                <c:pt idx="83">
                  <c:v>123655</c:v>
                </c:pt>
                <c:pt idx="84">
                  <c:v>123700</c:v>
                </c:pt>
                <c:pt idx="85">
                  <c:v>123705</c:v>
                </c:pt>
                <c:pt idx="86">
                  <c:v>123710</c:v>
                </c:pt>
                <c:pt idx="87">
                  <c:v>123715</c:v>
                </c:pt>
                <c:pt idx="88">
                  <c:v>123720</c:v>
                </c:pt>
                <c:pt idx="89">
                  <c:v>123725</c:v>
                </c:pt>
                <c:pt idx="90">
                  <c:v>123730</c:v>
                </c:pt>
                <c:pt idx="91">
                  <c:v>123735</c:v>
                </c:pt>
                <c:pt idx="92">
                  <c:v>123740</c:v>
                </c:pt>
                <c:pt idx="93">
                  <c:v>123745</c:v>
                </c:pt>
                <c:pt idx="94">
                  <c:v>123750</c:v>
                </c:pt>
                <c:pt idx="95">
                  <c:v>123755</c:v>
                </c:pt>
                <c:pt idx="96">
                  <c:v>123800</c:v>
                </c:pt>
                <c:pt idx="97">
                  <c:v>123805</c:v>
                </c:pt>
                <c:pt idx="98">
                  <c:v>123810</c:v>
                </c:pt>
                <c:pt idx="99">
                  <c:v>123815</c:v>
                </c:pt>
                <c:pt idx="100">
                  <c:v>123820</c:v>
                </c:pt>
                <c:pt idx="101">
                  <c:v>123825</c:v>
                </c:pt>
                <c:pt idx="102">
                  <c:v>123830</c:v>
                </c:pt>
                <c:pt idx="103">
                  <c:v>123835</c:v>
                </c:pt>
                <c:pt idx="104">
                  <c:v>123840</c:v>
                </c:pt>
                <c:pt idx="105">
                  <c:v>123845</c:v>
                </c:pt>
                <c:pt idx="106">
                  <c:v>123850</c:v>
                </c:pt>
                <c:pt idx="107">
                  <c:v>123855</c:v>
                </c:pt>
                <c:pt idx="108">
                  <c:v>123900</c:v>
                </c:pt>
                <c:pt idx="109">
                  <c:v>123905</c:v>
                </c:pt>
                <c:pt idx="110">
                  <c:v>123910</c:v>
                </c:pt>
                <c:pt idx="111">
                  <c:v>123915</c:v>
                </c:pt>
                <c:pt idx="112">
                  <c:v>123920</c:v>
                </c:pt>
                <c:pt idx="113">
                  <c:v>123925</c:v>
                </c:pt>
                <c:pt idx="114">
                  <c:v>123930</c:v>
                </c:pt>
                <c:pt idx="115">
                  <c:v>123935</c:v>
                </c:pt>
                <c:pt idx="116">
                  <c:v>123940</c:v>
                </c:pt>
                <c:pt idx="117">
                  <c:v>123945</c:v>
                </c:pt>
                <c:pt idx="118">
                  <c:v>123950</c:v>
                </c:pt>
                <c:pt idx="119">
                  <c:v>123955</c:v>
                </c:pt>
                <c:pt idx="120">
                  <c:v>124000</c:v>
                </c:pt>
                <c:pt idx="121">
                  <c:v>124005</c:v>
                </c:pt>
                <c:pt idx="122">
                  <c:v>124010</c:v>
                </c:pt>
                <c:pt idx="123">
                  <c:v>124015</c:v>
                </c:pt>
                <c:pt idx="124">
                  <c:v>124020</c:v>
                </c:pt>
                <c:pt idx="125">
                  <c:v>124025</c:v>
                </c:pt>
                <c:pt idx="126">
                  <c:v>124030</c:v>
                </c:pt>
                <c:pt idx="127">
                  <c:v>124035</c:v>
                </c:pt>
                <c:pt idx="128">
                  <c:v>124040</c:v>
                </c:pt>
                <c:pt idx="129">
                  <c:v>124045</c:v>
                </c:pt>
                <c:pt idx="130">
                  <c:v>124050</c:v>
                </c:pt>
                <c:pt idx="131">
                  <c:v>124055</c:v>
                </c:pt>
                <c:pt idx="132">
                  <c:v>124100</c:v>
                </c:pt>
                <c:pt idx="133">
                  <c:v>124105</c:v>
                </c:pt>
                <c:pt idx="134">
                  <c:v>124110</c:v>
                </c:pt>
                <c:pt idx="135">
                  <c:v>124115</c:v>
                </c:pt>
                <c:pt idx="136">
                  <c:v>124120</c:v>
                </c:pt>
                <c:pt idx="137">
                  <c:v>124125</c:v>
                </c:pt>
                <c:pt idx="138">
                  <c:v>124130</c:v>
                </c:pt>
                <c:pt idx="139">
                  <c:v>124135</c:v>
                </c:pt>
                <c:pt idx="140">
                  <c:v>124140</c:v>
                </c:pt>
                <c:pt idx="141">
                  <c:v>124145</c:v>
                </c:pt>
                <c:pt idx="142">
                  <c:v>124150</c:v>
                </c:pt>
                <c:pt idx="143">
                  <c:v>124155</c:v>
                </c:pt>
                <c:pt idx="144">
                  <c:v>124200</c:v>
                </c:pt>
                <c:pt idx="145">
                  <c:v>124205</c:v>
                </c:pt>
                <c:pt idx="146">
                  <c:v>124210</c:v>
                </c:pt>
                <c:pt idx="147">
                  <c:v>124215</c:v>
                </c:pt>
                <c:pt idx="148">
                  <c:v>124220</c:v>
                </c:pt>
                <c:pt idx="149">
                  <c:v>124225</c:v>
                </c:pt>
                <c:pt idx="150">
                  <c:v>124230</c:v>
                </c:pt>
                <c:pt idx="151">
                  <c:v>124235</c:v>
                </c:pt>
                <c:pt idx="152">
                  <c:v>124240</c:v>
                </c:pt>
                <c:pt idx="153">
                  <c:v>124245</c:v>
                </c:pt>
                <c:pt idx="154">
                  <c:v>124250</c:v>
                </c:pt>
                <c:pt idx="155">
                  <c:v>124255</c:v>
                </c:pt>
                <c:pt idx="156">
                  <c:v>124300</c:v>
                </c:pt>
                <c:pt idx="157">
                  <c:v>124305</c:v>
                </c:pt>
                <c:pt idx="158">
                  <c:v>124310</c:v>
                </c:pt>
                <c:pt idx="159">
                  <c:v>124315</c:v>
                </c:pt>
                <c:pt idx="160">
                  <c:v>124320</c:v>
                </c:pt>
                <c:pt idx="161">
                  <c:v>124325</c:v>
                </c:pt>
                <c:pt idx="162">
                  <c:v>124330</c:v>
                </c:pt>
                <c:pt idx="163">
                  <c:v>124335</c:v>
                </c:pt>
                <c:pt idx="164">
                  <c:v>124340</c:v>
                </c:pt>
                <c:pt idx="165">
                  <c:v>124345</c:v>
                </c:pt>
                <c:pt idx="166">
                  <c:v>124350</c:v>
                </c:pt>
                <c:pt idx="167">
                  <c:v>124355</c:v>
                </c:pt>
                <c:pt idx="168">
                  <c:v>124400</c:v>
                </c:pt>
                <c:pt idx="169">
                  <c:v>124405</c:v>
                </c:pt>
                <c:pt idx="170">
                  <c:v>124410</c:v>
                </c:pt>
                <c:pt idx="171">
                  <c:v>124415</c:v>
                </c:pt>
                <c:pt idx="172">
                  <c:v>124420</c:v>
                </c:pt>
                <c:pt idx="173">
                  <c:v>124425</c:v>
                </c:pt>
                <c:pt idx="174">
                  <c:v>124430</c:v>
                </c:pt>
                <c:pt idx="175">
                  <c:v>124435</c:v>
                </c:pt>
                <c:pt idx="176">
                  <c:v>124440</c:v>
                </c:pt>
                <c:pt idx="177">
                  <c:v>124445</c:v>
                </c:pt>
                <c:pt idx="178">
                  <c:v>124450</c:v>
                </c:pt>
                <c:pt idx="179">
                  <c:v>124455</c:v>
                </c:pt>
                <c:pt idx="180">
                  <c:v>124500</c:v>
                </c:pt>
                <c:pt idx="181">
                  <c:v>124505</c:v>
                </c:pt>
                <c:pt idx="182">
                  <c:v>124510</c:v>
                </c:pt>
                <c:pt idx="183">
                  <c:v>124515</c:v>
                </c:pt>
                <c:pt idx="184">
                  <c:v>124520</c:v>
                </c:pt>
                <c:pt idx="185">
                  <c:v>124525</c:v>
                </c:pt>
                <c:pt idx="186">
                  <c:v>124530</c:v>
                </c:pt>
                <c:pt idx="187">
                  <c:v>124535</c:v>
                </c:pt>
                <c:pt idx="188">
                  <c:v>124540</c:v>
                </c:pt>
                <c:pt idx="189">
                  <c:v>124545</c:v>
                </c:pt>
                <c:pt idx="190">
                  <c:v>124550</c:v>
                </c:pt>
                <c:pt idx="191">
                  <c:v>124555</c:v>
                </c:pt>
                <c:pt idx="192">
                  <c:v>124600</c:v>
                </c:pt>
                <c:pt idx="193">
                  <c:v>124605</c:v>
                </c:pt>
                <c:pt idx="194">
                  <c:v>124610</c:v>
                </c:pt>
                <c:pt idx="195">
                  <c:v>124615</c:v>
                </c:pt>
                <c:pt idx="196">
                  <c:v>124620</c:v>
                </c:pt>
                <c:pt idx="197">
                  <c:v>124625</c:v>
                </c:pt>
                <c:pt idx="198">
                  <c:v>124630</c:v>
                </c:pt>
                <c:pt idx="199">
                  <c:v>124635</c:v>
                </c:pt>
                <c:pt idx="200">
                  <c:v>124640</c:v>
                </c:pt>
                <c:pt idx="201">
                  <c:v>124645</c:v>
                </c:pt>
                <c:pt idx="202">
                  <c:v>124650</c:v>
                </c:pt>
                <c:pt idx="203">
                  <c:v>124655</c:v>
                </c:pt>
                <c:pt idx="204">
                  <c:v>124700</c:v>
                </c:pt>
                <c:pt idx="205">
                  <c:v>124705</c:v>
                </c:pt>
                <c:pt idx="206">
                  <c:v>124710</c:v>
                </c:pt>
                <c:pt idx="207">
                  <c:v>124715</c:v>
                </c:pt>
                <c:pt idx="208">
                  <c:v>124720</c:v>
                </c:pt>
                <c:pt idx="209">
                  <c:v>124725</c:v>
                </c:pt>
                <c:pt idx="210">
                  <c:v>124730</c:v>
                </c:pt>
                <c:pt idx="211">
                  <c:v>124735</c:v>
                </c:pt>
                <c:pt idx="212">
                  <c:v>124740</c:v>
                </c:pt>
                <c:pt idx="213">
                  <c:v>124745</c:v>
                </c:pt>
                <c:pt idx="214">
                  <c:v>124750</c:v>
                </c:pt>
                <c:pt idx="215">
                  <c:v>124755</c:v>
                </c:pt>
                <c:pt idx="216">
                  <c:v>124800</c:v>
                </c:pt>
                <c:pt idx="217">
                  <c:v>124805</c:v>
                </c:pt>
                <c:pt idx="218">
                  <c:v>124810</c:v>
                </c:pt>
                <c:pt idx="219">
                  <c:v>124815</c:v>
                </c:pt>
                <c:pt idx="220">
                  <c:v>124820</c:v>
                </c:pt>
                <c:pt idx="221">
                  <c:v>124825</c:v>
                </c:pt>
                <c:pt idx="222">
                  <c:v>124830</c:v>
                </c:pt>
                <c:pt idx="223">
                  <c:v>124835</c:v>
                </c:pt>
                <c:pt idx="224">
                  <c:v>124840</c:v>
                </c:pt>
                <c:pt idx="225">
                  <c:v>124845</c:v>
                </c:pt>
                <c:pt idx="226">
                  <c:v>124850</c:v>
                </c:pt>
                <c:pt idx="227">
                  <c:v>124855</c:v>
                </c:pt>
                <c:pt idx="228">
                  <c:v>124900</c:v>
                </c:pt>
                <c:pt idx="229">
                  <c:v>124905</c:v>
                </c:pt>
                <c:pt idx="230">
                  <c:v>124910</c:v>
                </c:pt>
                <c:pt idx="231">
                  <c:v>124915</c:v>
                </c:pt>
                <c:pt idx="232">
                  <c:v>124920</c:v>
                </c:pt>
                <c:pt idx="233">
                  <c:v>124925</c:v>
                </c:pt>
                <c:pt idx="234">
                  <c:v>124930</c:v>
                </c:pt>
                <c:pt idx="235">
                  <c:v>124935</c:v>
                </c:pt>
                <c:pt idx="236">
                  <c:v>124940</c:v>
                </c:pt>
                <c:pt idx="237">
                  <c:v>124945</c:v>
                </c:pt>
                <c:pt idx="238">
                  <c:v>124950</c:v>
                </c:pt>
                <c:pt idx="239">
                  <c:v>124955</c:v>
                </c:pt>
                <c:pt idx="240">
                  <c:v>125000</c:v>
                </c:pt>
                <c:pt idx="241">
                  <c:v>125005</c:v>
                </c:pt>
                <c:pt idx="242">
                  <c:v>125010</c:v>
                </c:pt>
                <c:pt idx="243">
                  <c:v>125015</c:v>
                </c:pt>
                <c:pt idx="244">
                  <c:v>125020</c:v>
                </c:pt>
                <c:pt idx="245">
                  <c:v>125025</c:v>
                </c:pt>
                <c:pt idx="246">
                  <c:v>125030</c:v>
                </c:pt>
                <c:pt idx="247">
                  <c:v>125035</c:v>
                </c:pt>
                <c:pt idx="248">
                  <c:v>125040</c:v>
                </c:pt>
                <c:pt idx="249">
                  <c:v>125045</c:v>
                </c:pt>
                <c:pt idx="250">
                  <c:v>125050</c:v>
                </c:pt>
                <c:pt idx="251">
                  <c:v>125055</c:v>
                </c:pt>
                <c:pt idx="252">
                  <c:v>125100</c:v>
                </c:pt>
                <c:pt idx="253">
                  <c:v>125105</c:v>
                </c:pt>
                <c:pt idx="254">
                  <c:v>125110</c:v>
                </c:pt>
                <c:pt idx="255">
                  <c:v>125115</c:v>
                </c:pt>
                <c:pt idx="256">
                  <c:v>125120</c:v>
                </c:pt>
                <c:pt idx="257">
                  <c:v>125125</c:v>
                </c:pt>
                <c:pt idx="258">
                  <c:v>125130</c:v>
                </c:pt>
                <c:pt idx="259">
                  <c:v>125135</c:v>
                </c:pt>
                <c:pt idx="260">
                  <c:v>125140</c:v>
                </c:pt>
                <c:pt idx="261">
                  <c:v>125145</c:v>
                </c:pt>
                <c:pt idx="262">
                  <c:v>125150</c:v>
                </c:pt>
                <c:pt idx="263">
                  <c:v>125155</c:v>
                </c:pt>
                <c:pt idx="264">
                  <c:v>125200</c:v>
                </c:pt>
                <c:pt idx="265">
                  <c:v>125205</c:v>
                </c:pt>
                <c:pt idx="266">
                  <c:v>125210</c:v>
                </c:pt>
                <c:pt idx="267">
                  <c:v>125215</c:v>
                </c:pt>
                <c:pt idx="268">
                  <c:v>125220</c:v>
                </c:pt>
                <c:pt idx="269">
                  <c:v>125225</c:v>
                </c:pt>
                <c:pt idx="270">
                  <c:v>125230</c:v>
                </c:pt>
                <c:pt idx="271">
                  <c:v>125235</c:v>
                </c:pt>
                <c:pt idx="272">
                  <c:v>125240</c:v>
                </c:pt>
                <c:pt idx="273">
                  <c:v>125245</c:v>
                </c:pt>
                <c:pt idx="274">
                  <c:v>125250</c:v>
                </c:pt>
                <c:pt idx="275">
                  <c:v>125255</c:v>
                </c:pt>
                <c:pt idx="276">
                  <c:v>125300</c:v>
                </c:pt>
                <c:pt idx="277">
                  <c:v>125305</c:v>
                </c:pt>
                <c:pt idx="278">
                  <c:v>125310</c:v>
                </c:pt>
                <c:pt idx="279">
                  <c:v>125315</c:v>
                </c:pt>
                <c:pt idx="280">
                  <c:v>125320</c:v>
                </c:pt>
                <c:pt idx="281">
                  <c:v>125325</c:v>
                </c:pt>
                <c:pt idx="282">
                  <c:v>125330</c:v>
                </c:pt>
                <c:pt idx="283">
                  <c:v>125335</c:v>
                </c:pt>
                <c:pt idx="284">
                  <c:v>125340</c:v>
                </c:pt>
                <c:pt idx="285">
                  <c:v>125345</c:v>
                </c:pt>
                <c:pt idx="286">
                  <c:v>125350</c:v>
                </c:pt>
                <c:pt idx="287">
                  <c:v>125355</c:v>
                </c:pt>
                <c:pt idx="288">
                  <c:v>125400</c:v>
                </c:pt>
                <c:pt idx="289">
                  <c:v>125405</c:v>
                </c:pt>
                <c:pt idx="290">
                  <c:v>125410</c:v>
                </c:pt>
                <c:pt idx="291">
                  <c:v>125415</c:v>
                </c:pt>
                <c:pt idx="292">
                  <c:v>125420</c:v>
                </c:pt>
                <c:pt idx="293">
                  <c:v>125425</c:v>
                </c:pt>
                <c:pt idx="294">
                  <c:v>125430</c:v>
                </c:pt>
                <c:pt idx="295">
                  <c:v>125435</c:v>
                </c:pt>
                <c:pt idx="296">
                  <c:v>125440</c:v>
                </c:pt>
                <c:pt idx="297">
                  <c:v>125445</c:v>
                </c:pt>
                <c:pt idx="298">
                  <c:v>125450</c:v>
                </c:pt>
                <c:pt idx="299">
                  <c:v>125455</c:v>
                </c:pt>
                <c:pt idx="300">
                  <c:v>125500</c:v>
                </c:pt>
                <c:pt idx="301">
                  <c:v>125505</c:v>
                </c:pt>
                <c:pt idx="302">
                  <c:v>125510</c:v>
                </c:pt>
                <c:pt idx="303">
                  <c:v>125515</c:v>
                </c:pt>
                <c:pt idx="304">
                  <c:v>125520</c:v>
                </c:pt>
                <c:pt idx="305">
                  <c:v>125525</c:v>
                </c:pt>
                <c:pt idx="306">
                  <c:v>125530</c:v>
                </c:pt>
                <c:pt idx="307">
                  <c:v>125535</c:v>
                </c:pt>
                <c:pt idx="308">
                  <c:v>125540</c:v>
                </c:pt>
                <c:pt idx="309">
                  <c:v>125545</c:v>
                </c:pt>
                <c:pt idx="310">
                  <c:v>125550</c:v>
                </c:pt>
                <c:pt idx="311">
                  <c:v>125555</c:v>
                </c:pt>
                <c:pt idx="312">
                  <c:v>125600</c:v>
                </c:pt>
                <c:pt idx="313">
                  <c:v>125605</c:v>
                </c:pt>
                <c:pt idx="314">
                  <c:v>125610</c:v>
                </c:pt>
                <c:pt idx="315">
                  <c:v>125615</c:v>
                </c:pt>
                <c:pt idx="316">
                  <c:v>125620</c:v>
                </c:pt>
                <c:pt idx="317">
                  <c:v>125625</c:v>
                </c:pt>
                <c:pt idx="318">
                  <c:v>125630</c:v>
                </c:pt>
                <c:pt idx="319">
                  <c:v>125635</c:v>
                </c:pt>
                <c:pt idx="320">
                  <c:v>125640</c:v>
                </c:pt>
                <c:pt idx="321">
                  <c:v>125645</c:v>
                </c:pt>
                <c:pt idx="322">
                  <c:v>125650</c:v>
                </c:pt>
                <c:pt idx="323">
                  <c:v>125655</c:v>
                </c:pt>
                <c:pt idx="324">
                  <c:v>125700</c:v>
                </c:pt>
                <c:pt idx="325">
                  <c:v>125705</c:v>
                </c:pt>
                <c:pt idx="326">
                  <c:v>125710</c:v>
                </c:pt>
                <c:pt idx="327">
                  <c:v>125715</c:v>
                </c:pt>
                <c:pt idx="328">
                  <c:v>125720</c:v>
                </c:pt>
                <c:pt idx="329">
                  <c:v>125725</c:v>
                </c:pt>
                <c:pt idx="330">
                  <c:v>125730</c:v>
                </c:pt>
                <c:pt idx="331">
                  <c:v>125735</c:v>
                </c:pt>
                <c:pt idx="332">
                  <c:v>125740</c:v>
                </c:pt>
                <c:pt idx="333">
                  <c:v>125745</c:v>
                </c:pt>
                <c:pt idx="334">
                  <c:v>125750</c:v>
                </c:pt>
                <c:pt idx="335">
                  <c:v>125755</c:v>
                </c:pt>
                <c:pt idx="336">
                  <c:v>125800</c:v>
                </c:pt>
                <c:pt idx="337">
                  <c:v>125805</c:v>
                </c:pt>
                <c:pt idx="338">
                  <c:v>125810</c:v>
                </c:pt>
                <c:pt idx="339">
                  <c:v>125815</c:v>
                </c:pt>
                <c:pt idx="340">
                  <c:v>125820</c:v>
                </c:pt>
                <c:pt idx="341">
                  <c:v>125825</c:v>
                </c:pt>
                <c:pt idx="342">
                  <c:v>125830</c:v>
                </c:pt>
                <c:pt idx="343">
                  <c:v>125835</c:v>
                </c:pt>
                <c:pt idx="344">
                  <c:v>125840</c:v>
                </c:pt>
                <c:pt idx="345">
                  <c:v>125845</c:v>
                </c:pt>
                <c:pt idx="346">
                  <c:v>125850</c:v>
                </c:pt>
                <c:pt idx="347">
                  <c:v>125855</c:v>
                </c:pt>
                <c:pt idx="348">
                  <c:v>125900</c:v>
                </c:pt>
                <c:pt idx="349">
                  <c:v>125905</c:v>
                </c:pt>
                <c:pt idx="350">
                  <c:v>125910</c:v>
                </c:pt>
                <c:pt idx="351">
                  <c:v>125915</c:v>
                </c:pt>
                <c:pt idx="352">
                  <c:v>125920</c:v>
                </c:pt>
                <c:pt idx="353">
                  <c:v>125925</c:v>
                </c:pt>
                <c:pt idx="354">
                  <c:v>125930</c:v>
                </c:pt>
                <c:pt idx="355">
                  <c:v>125935</c:v>
                </c:pt>
                <c:pt idx="356">
                  <c:v>125940</c:v>
                </c:pt>
                <c:pt idx="357">
                  <c:v>125945</c:v>
                </c:pt>
                <c:pt idx="358">
                  <c:v>125950</c:v>
                </c:pt>
                <c:pt idx="359">
                  <c:v>125955</c:v>
                </c:pt>
                <c:pt idx="360">
                  <c:v>130000</c:v>
                </c:pt>
                <c:pt idx="361">
                  <c:v>130005</c:v>
                </c:pt>
                <c:pt idx="362">
                  <c:v>130010</c:v>
                </c:pt>
                <c:pt idx="363">
                  <c:v>130015</c:v>
                </c:pt>
                <c:pt idx="364">
                  <c:v>130020</c:v>
                </c:pt>
                <c:pt idx="365">
                  <c:v>130025</c:v>
                </c:pt>
                <c:pt idx="366">
                  <c:v>130030</c:v>
                </c:pt>
                <c:pt idx="367">
                  <c:v>130035</c:v>
                </c:pt>
                <c:pt idx="368">
                  <c:v>130040</c:v>
                </c:pt>
                <c:pt idx="369">
                  <c:v>130045</c:v>
                </c:pt>
                <c:pt idx="370">
                  <c:v>130050</c:v>
                </c:pt>
                <c:pt idx="371">
                  <c:v>130055</c:v>
                </c:pt>
                <c:pt idx="372">
                  <c:v>130100</c:v>
                </c:pt>
                <c:pt idx="373">
                  <c:v>130105</c:v>
                </c:pt>
                <c:pt idx="374">
                  <c:v>130110</c:v>
                </c:pt>
                <c:pt idx="375">
                  <c:v>130115</c:v>
                </c:pt>
                <c:pt idx="376">
                  <c:v>130120</c:v>
                </c:pt>
                <c:pt idx="377">
                  <c:v>130125</c:v>
                </c:pt>
                <c:pt idx="378">
                  <c:v>130130</c:v>
                </c:pt>
                <c:pt idx="379">
                  <c:v>130135</c:v>
                </c:pt>
                <c:pt idx="380">
                  <c:v>130140</c:v>
                </c:pt>
                <c:pt idx="381">
                  <c:v>130145</c:v>
                </c:pt>
                <c:pt idx="382">
                  <c:v>130150</c:v>
                </c:pt>
                <c:pt idx="383">
                  <c:v>130155</c:v>
                </c:pt>
                <c:pt idx="384">
                  <c:v>130200</c:v>
                </c:pt>
                <c:pt idx="385">
                  <c:v>130205</c:v>
                </c:pt>
                <c:pt idx="386">
                  <c:v>130210</c:v>
                </c:pt>
                <c:pt idx="387">
                  <c:v>130215</c:v>
                </c:pt>
                <c:pt idx="388">
                  <c:v>130220</c:v>
                </c:pt>
                <c:pt idx="389">
                  <c:v>130225</c:v>
                </c:pt>
                <c:pt idx="390">
                  <c:v>130230</c:v>
                </c:pt>
                <c:pt idx="391">
                  <c:v>130235</c:v>
                </c:pt>
                <c:pt idx="392">
                  <c:v>130240</c:v>
                </c:pt>
                <c:pt idx="393">
                  <c:v>130245</c:v>
                </c:pt>
                <c:pt idx="394">
                  <c:v>130250</c:v>
                </c:pt>
                <c:pt idx="395">
                  <c:v>130255</c:v>
                </c:pt>
                <c:pt idx="396">
                  <c:v>130300</c:v>
                </c:pt>
                <c:pt idx="397">
                  <c:v>130305</c:v>
                </c:pt>
                <c:pt idx="398">
                  <c:v>130310</c:v>
                </c:pt>
                <c:pt idx="399">
                  <c:v>130315</c:v>
                </c:pt>
                <c:pt idx="400">
                  <c:v>130320</c:v>
                </c:pt>
                <c:pt idx="401">
                  <c:v>130325</c:v>
                </c:pt>
                <c:pt idx="402">
                  <c:v>130330</c:v>
                </c:pt>
                <c:pt idx="403">
                  <c:v>130335</c:v>
                </c:pt>
                <c:pt idx="404">
                  <c:v>130340</c:v>
                </c:pt>
                <c:pt idx="405">
                  <c:v>130345</c:v>
                </c:pt>
                <c:pt idx="406">
                  <c:v>130350</c:v>
                </c:pt>
                <c:pt idx="407">
                  <c:v>130355</c:v>
                </c:pt>
                <c:pt idx="408">
                  <c:v>130400</c:v>
                </c:pt>
                <c:pt idx="409">
                  <c:v>130405</c:v>
                </c:pt>
                <c:pt idx="410">
                  <c:v>130410</c:v>
                </c:pt>
                <c:pt idx="411">
                  <c:v>130415</c:v>
                </c:pt>
                <c:pt idx="412">
                  <c:v>130420</c:v>
                </c:pt>
                <c:pt idx="413">
                  <c:v>130425</c:v>
                </c:pt>
                <c:pt idx="414">
                  <c:v>130430</c:v>
                </c:pt>
                <c:pt idx="415">
                  <c:v>130435</c:v>
                </c:pt>
                <c:pt idx="416">
                  <c:v>130440</c:v>
                </c:pt>
                <c:pt idx="417">
                  <c:v>130445</c:v>
                </c:pt>
                <c:pt idx="418">
                  <c:v>130450</c:v>
                </c:pt>
                <c:pt idx="419">
                  <c:v>130455</c:v>
                </c:pt>
                <c:pt idx="420">
                  <c:v>130500</c:v>
                </c:pt>
                <c:pt idx="421">
                  <c:v>130505</c:v>
                </c:pt>
                <c:pt idx="422">
                  <c:v>130510</c:v>
                </c:pt>
                <c:pt idx="423">
                  <c:v>130515</c:v>
                </c:pt>
                <c:pt idx="424">
                  <c:v>130520</c:v>
                </c:pt>
                <c:pt idx="425">
                  <c:v>130525</c:v>
                </c:pt>
                <c:pt idx="426">
                  <c:v>130530</c:v>
                </c:pt>
                <c:pt idx="427">
                  <c:v>130535</c:v>
                </c:pt>
                <c:pt idx="428">
                  <c:v>130540</c:v>
                </c:pt>
                <c:pt idx="429">
                  <c:v>130545</c:v>
                </c:pt>
                <c:pt idx="430">
                  <c:v>130550</c:v>
                </c:pt>
                <c:pt idx="431">
                  <c:v>130555</c:v>
                </c:pt>
                <c:pt idx="432">
                  <c:v>130600</c:v>
                </c:pt>
                <c:pt idx="433">
                  <c:v>130605</c:v>
                </c:pt>
                <c:pt idx="434">
                  <c:v>130610</c:v>
                </c:pt>
                <c:pt idx="435">
                  <c:v>130615</c:v>
                </c:pt>
                <c:pt idx="436">
                  <c:v>130620</c:v>
                </c:pt>
                <c:pt idx="437">
                  <c:v>130625</c:v>
                </c:pt>
                <c:pt idx="438">
                  <c:v>130630</c:v>
                </c:pt>
                <c:pt idx="439">
                  <c:v>130635</c:v>
                </c:pt>
                <c:pt idx="440">
                  <c:v>130640</c:v>
                </c:pt>
                <c:pt idx="441">
                  <c:v>130645</c:v>
                </c:pt>
                <c:pt idx="442">
                  <c:v>130650</c:v>
                </c:pt>
                <c:pt idx="443">
                  <c:v>130655</c:v>
                </c:pt>
                <c:pt idx="444">
                  <c:v>130700</c:v>
                </c:pt>
                <c:pt idx="445">
                  <c:v>130705</c:v>
                </c:pt>
                <c:pt idx="446">
                  <c:v>130710</c:v>
                </c:pt>
                <c:pt idx="447">
                  <c:v>130715</c:v>
                </c:pt>
                <c:pt idx="448">
                  <c:v>130720</c:v>
                </c:pt>
                <c:pt idx="449">
                  <c:v>130725</c:v>
                </c:pt>
                <c:pt idx="450">
                  <c:v>130730</c:v>
                </c:pt>
                <c:pt idx="451">
                  <c:v>130735</c:v>
                </c:pt>
                <c:pt idx="452">
                  <c:v>130740</c:v>
                </c:pt>
                <c:pt idx="453">
                  <c:v>130745</c:v>
                </c:pt>
                <c:pt idx="454">
                  <c:v>130750</c:v>
                </c:pt>
                <c:pt idx="455">
                  <c:v>130755</c:v>
                </c:pt>
                <c:pt idx="456">
                  <c:v>130800</c:v>
                </c:pt>
                <c:pt idx="457">
                  <c:v>130805</c:v>
                </c:pt>
                <c:pt idx="458">
                  <c:v>130810</c:v>
                </c:pt>
                <c:pt idx="459">
                  <c:v>130815</c:v>
                </c:pt>
                <c:pt idx="460">
                  <c:v>130820</c:v>
                </c:pt>
                <c:pt idx="461">
                  <c:v>130825</c:v>
                </c:pt>
                <c:pt idx="462">
                  <c:v>130830</c:v>
                </c:pt>
                <c:pt idx="463">
                  <c:v>130835</c:v>
                </c:pt>
                <c:pt idx="464">
                  <c:v>130840</c:v>
                </c:pt>
                <c:pt idx="465">
                  <c:v>130845</c:v>
                </c:pt>
                <c:pt idx="466">
                  <c:v>130850</c:v>
                </c:pt>
                <c:pt idx="467">
                  <c:v>130855</c:v>
                </c:pt>
                <c:pt idx="468">
                  <c:v>130900</c:v>
                </c:pt>
                <c:pt idx="469">
                  <c:v>130905</c:v>
                </c:pt>
                <c:pt idx="470">
                  <c:v>130910</c:v>
                </c:pt>
                <c:pt idx="471">
                  <c:v>130915</c:v>
                </c:pt>
                <c:pt idx="472">
                  <c:v>130920</c:v>
                </c:pt>
                <c:pt idx="473">
                  <c:v>130925</c:v>
                </c:pt>
                <c:pt idx="474">
                  <c:v>130930</c:v>
                </c:pt>
                <c:pt idx="475">
                  <c:v>130935</c:v>
                </c:pt>
                <c:pt idx="476">
                  <c:v>130940</c:v>
                </c:pt>
                <c:pt idx="477">
                  <c:v>130945</c:v>
                </c:pt>
                <c:pt idx="478">
                  <c:v>130950</c:v>
                </c:pt>
                <c:pt idx="479">
                  <c:v>130955</c:v>
                </c:pt>
                <c:pt idx="480">
                  <c:v>131000</c:v>
                </c:pt>
                <c:pt idx="481">
                  <c:v>131005</c:v>
                </c:pt>
                <c:pt idx="482">
                  <c:v>131010</c:v>
                </c:pt>
                <c:pt idx="483">
                  <c:v>131015</c:v>
                </c:pt>
                <c:pt idx="484">
                  <c:v>131020</c:v>
                </c:pt>
                <c:pt idx="485">
                  <c:v>131025</c:v>
                </c:pt>
                <c:pt idx="486">
                  <c:v>131030</c:v>
                </c:pt>
                <c:pt idx="487">
                  <c:v>131035</c:v>
                </c:pt>
                <c:pt idx="488">
                  <c:v>131040</c:v>
                </c:pt>
                <c:pt idx="489">
                  <c:v>131045</c:v>
                </c:pt>
                <c:pt idx="490">
                  <c:v>131050</c:v>
                </c:pt>
                <c:pt idx="491">
                  <c:v>131055</c:v>
                </c:pt>
                <c:pt idx="492">
                  <c:v>131100</c:v>
                </c:pt>
                <c:pt idx="493">
                  <c:v>131105</c:v>
                </c:pt>
                <c:pt idx="494">
                  <c:v>131110</c:v>
                </c:pt>
                <c:pt idx="495">
                  <c:v>131115</c:v>
                </c:pt>
                <c:pt idx="496">
                  <c:v>131120</c:v>
                </c:pt>
                <c:pt idx="497">
                  <c:v>131125</c:v>
                </c:pt>
                <c:pt idx="498">
                  <c:v>131130</c:v>
                </c:pt>
                <c:pt idx="499">
                  <c:v>131135</c:v>
                </c:pt>
                <c:pt idx="500">
                  <c:v>131140</c:v>
                </c:pt>
                <c:pt idx="501">
                  <c:v>131145</c:v>
                </c:pt>
                <c:pt idx="502">
                  <c:v>131150</c:v>
                </c:pt>
                <c:pt idx="503">
                  <c:v>131155</c:v>
                </c:pt>
                <c:pt idx="504">
                  <c:v>131200</c:v>
                </c:pt>
                <c:pt idx="505">
                  <c:v>131205</c:v>
                </c:pt>
                <c:pt idx="506">
                  <c:v>131210</c:v>
                </c:pt>
                <c:pt idx="507">
                  <c:v>131215</c:v>
                </c:pt>
                <c:pt idx="508">
                  <c:v>131220</c:v>
                </c:pt>
                <c:pt idx="509">
                  <c:v>131225</c:v>
                </c:pt>
                <c:pt idx="510">
                  <c:v>131230</c:v>
                </c:pt>
                <c:pt idx="511">
                  <c:v>131235</c:v>
                </c:pt>
                <c:pt idx="512">
                  <c:v>131240</c:v>
                </c:pt>
                <c:pt idx="513">
                  <c:v>131245</c:v>
                </c:pt>
                <c:pt idx="514">
                  <c:v>131250</c:v>
                </c:pt>
                <c:pt idx="515">
                  <c:v>131255</c:v>
                </c:pt>
                <c:pt idx="516">
                  <c:v>131300</c:v>
                </c:pt>
                <c:pt idx="517">
                  <c:v>131305</c:v>
                </c:pt>
                <c:pt idx="518">
                  <c:v>131310</c:v>
                </c:pt>
                <c:pt idx="519">
                  <c:v>131315</c:v>
                </c:pt>
                <c:pt idx="520">
                  <c:v>131320</c:v>
                </c:pt>
                <c:pt idx="521">
                  <c:v>131325</c:v>
                </c:pt>
                <c:pt idx="522">
                  <c:v>131330</c:v>
                </c:pt>
                <c:pt idx="523">
                  <c:v>131335</c:v>
                </c:pt>
                <c:pt idx="524">
                  <c:v>131340</c:v>
                </c:pt>
                <c:pt idx="525">
                  <c:v>131345</c:v>
                </c:pt>
                <c:pt idx="526">
                  <c:v>131350</c:v>
                </c:pt>
                <c:pt idx="527">
                  <c:v>131355</c:v>
                </c:pt>
                <c:pt idx="528">
                  <c:v>131400</c:v>
                </c:pt>
                <c:pt idx="529">
                  <c:v>131405</c:v>
                </c:pt>
                <c:pt idx="530">
                  <c:v>131410</c:v>
                </c:pt>
                <c:pt idx="531">
                  <c:v>131415</c:v>
                </c:pt>
                <c:pt idx="532">
                  <c:v>131420</c:v>
                </c:pt>
                <c:pt idx="533">
                  <c:v>131425</c:v>
                </c:pt>
                <c:pt idx="534">
                  <c:v>131430</c:v>
                </c:pt>
                <c:pt idx="535">
                  <c:v>131435</c:v>
                </c:pt>
                <c:pt idx="536">
                  <c:v>131440</c:v>
                </c:pt>
                <c:pt idx="537">
                  <c:v>131445</c:v>
                </c:pt>
                <c:pt idx="538">
                  <c:v>131450</c:v>
                </c:pt>
                <c:pt idx="539">
                  <c:v>131455</c:v>
                </c:pt>
                <c:pt idx="540">
                  <c:v>131500</c:v>
                </c:pt>
                <c:pt idx="541">
                  <c:v>131505</c:v>
                </c:pt>
                <c:pt idx="542">
                  <c:v>131510</c:v>
                </c:pt>
                <c:pt idx="543">
                  <c:v>131515</c:v>
                </c:pt>
                <c:pt idx="544">
                  <c:v>131520</c:v>
                </c:pt>
                <c:pt idx="545">
                  <c:v>131525</c:v>
                </c:pt>
                <c:pt idx="546">
                  <c:v>131530</c:v>
                </c:pt>
                <c:pt idx="547">
                  <c:v>131535</c:v>
                </c:pt>
                <c:pt idx="548">
                  <c:v>131540</c:v>
                </c:pt>
                <c:pt idx="549">
                  <c:v>131545</c:v>
                </c:pt>
                <c:pt idx="550">
                  <c:v>131550</c:v>
                </c:pt>
                <c:pt idx="551">
                  <c:v>131555</c:v>
                </c:pt>
                <c:pt idx="552">
                  <c:v>131600</c:v>
                </c:pt>
                <c:pt idx="553">
                  <c:v>131605</c:v>
                </c:pt>
                <c:pt idx="554">
                  <c:v>131610</c:v>
                </c:pt>
                <c:pt idx="555">
                  <c:v>131615</c:v>
                </c:pt>
                <c:pt idx="556">
                  <c:v>131620</c:v>
                </c:pt>
                <c:pt idx="557">
                  <c:v>131625</c:v>
                </c:pt>
                <c:pt idx="558">
                  <c:v>131630</c:v>
                </c:pt>
                <c:pt idx="559">
                  <c:v>131635</c:v>
                </c:pt>
                <c:pt idx="560">
                  <c:v>131640</c:v>
                </c:pt>
                <c:pt idx="561">
                  <c:v>131645</c:v>
                </c:pt>
                <c:pt idx="562">
                  <c:v>131650</c:v>
                </c:pt>
                <c:pt idx="563">
                  <c:v>131655</c:v>
                </c:pt>
                <c:pt idx="564">
                  <c:v>131700</c:v>
                </c:pt>
                <c:pt idx="565">
                  <c:v>131705</c:v>
                </c:pt>
                <c:pt idx="566">
                  <c:v>131710</c:v>
                </c:pt>
                <c:pt idx="567">
                  <c:v>131715</c:v>
                </c:pt>
                <c:pt idx="568">
                  <c:v>131720</c:v>
                </c:pt>
                <c:pt idx="569">
                  <c:v>131725</c:v>
                </c:pt>
                <c:pt idx="570">
                  <c:v>131730</c:v>
                </c:pt>
                <c:pt idx="571">
                  <c:v>131735</c:v>
                </c:pt>
                <c:pt idx="572">
                  <c:v>131740</c:v>
                </c:pt>
                <c:pt idx="573">
                  <c:v>131745</c:v>
                </c:pt>
                <c:pt idx="574">
                  <c:v>131750</c:v>
                </c:pt>
                <c:pt idx="575">
                  <c:v>131755</c:v>
                </c:pt>
                <c:pt idx="576">
                  <c:v>131800</c:v>
                </c:pt>
                <c:pt idx="577">
                  <c:v>131805</c:v>
                </c:pt>
                <c:pt idx="578">
                  <c:v>131810</c:v>
                </c:pt>
                <c:pt idx="579">
                  <c:v>131815</c:v>
                </c:pt>
                <c:pt idx="580">
                  <c:v>131820</c:v>
                </c:pt>
                <c:pt idx="581">
                  <c:v>131825</c:v>
                </c:pt>
                <c:pt idx="582">
                  <c:v>131830</c:v>
                </c:pt>
                <c:pt idx="583">
                  <c:v>131835</c:v>
                </c:pt>
                <c:pt idx="584">
                  <c:v>131840</c:v>
                </c:pt>
                <c:pt idx="585">
                  <c:v>131845</c:v>
                </c:pt>
                <c:pt idx="586">
                  <c:v>131850</c:v>
                </c:pt>
                <c:pt idx="587">
                  <c:v>131855</c:v>
                </c:pt>
                <c:pt idx="588">
                  <c:v>131900</c:v>
                </c:pt>
                <c:pt idx="589">
                  <c:v>131905</c:v>
                </c:pt>
                <c:pt idx="590">
                  <c:v>131910</c:v>
                </c:pt>
                <c:pt idx="591">
                  <c:v>131915</c:v>
                </c:pt>
                <c:pt idx="592">
                  <c:v>131920</c:v>
                </c:pt>
                <c:pt idx="593">
                  <c:v>131925</c:v>
                </c:pt>
                <c:pt idx="594">
                  <c:v>131930</c:v>
                </c:pt>
                <c:pt idx="595">
                  <c:v>131935</c:v>
                </c:pt>
                <c:pt idx="596">
                  <c:v>131940</c:v>
                </c:pt>
                <c:pt idx="597">
                  <c:v>131945</c:v>
                </c:pt>
                <c:pt idx="598">
                  <c:v>131950</c:v>
                </c:pt>
                <c:pt idx="599">
                  <c:v>131955</c:v>
                </c:pt>
                <c:pt idx="600">
                  <c:v>132000</c:v>
                </c:pt>
                <c:pt idx="601">
                  <c:v>132005</c:v>
                </c:pt>
                <c:pt idx="602">
                  <c:v>132010</c:v>
                </c:pt>
                <c:pt idx="603">
                  <c:v>132015</c:v>
                </c:pt>
                <c:pt idx="604">
                  <c:v>132020</c:v>
                </c:pt>
                <c:pt idx="605">
                  <c:v>132025</c:v>
                </c:pt>
                <c:pt idx="606">
                  <c:v>132030</c:v>
                </c:pt>
                <c:pt idx="607">
                  <c:v>132035</c:v>
                </c:pt>
                <c:pt idx="608">
                  <c:v>132040</c:v>
                </c:pt>
                <c:pt idx="609">
                  <c:v>132045</c:v>
                </c:pt>
                <c:pt idx="610">
                  <c:v>132050</c:v>
                </c:pt>
                <c:pt idx="611">
                  <c:v>132055</c:v>
                </c:pt>
                <c:pt idx="612">
                  <c:v>132100</c:v>
                </c:pt>
                <c:pt idx="613">
                  <c:v>132105</c:v>
                </c:pt>
                <c:pt idx="614">
                  <c:v>132110</c:v>
                </c:pt>
                <c:pt idx="615">
                  <c:v>132115</c:v>
                </c:pt>
                <c:pt idx="616">
                  <c:v>132120</c:v>
                </c:pt>
                <c:pt idx="617">
                  <c:v>132125</c:v>
                </c:pt>
                <c:pt idx="618">
                  <c:v>132130</c:v>
                </c:pt>
                <c:pt idx="619">
                  <c:v>132135</c:v>
                </c:pt>
                <c:pt idx="620">
                  <c:v>132140</c:v>
                </c:pt>
                <c:pt idx="621">
                  <c:v>132145</c:v>
                </c:pt>
                <c:pt idx="622">
                  <c:v>132150</c:v>
                </c:pt>
                <c:pt idx="623">
                  <c:v>132155</c:v>
                </c:pt>
                <c:pt idx="624">
                  <c:v>132200</c:v>
                </c:pt>
                <c:pt idx="625">
                  <c:v>132205</c:v>
                </c:pt>
                <c:pt idx="626">
                  <c:v>132210</c:v>
                </c:pt>
                <c:pt idx="627">
                  <c:v>132215</c:v>
                </c:pt>
                <c:pt idx="628">
                  <c:v>132220</c:v>
                </c:pt>
                <c:pt idx="629">
                  <c:v>132225</c:v>
                </c:pt>
                <c:pt idx="630">
                  <c:v>132230</c:v>
                </c:pt>
                <c:pt idx="631">
                  <c:v>132235</c:v>
                </c:pt>
                <c:pt idx="632">
                  <c:v>132240</c:v>
                </c:pt>
                <c:pt idx="633">
                  <c:v>132245</c:v>
                </c:pt>
                <c:pt idx="634">
                  <c:v>132250</c:v>
                </c:pt>
                <c:pt idx="635">
                  <c:v>132255</c:v>
                </c:pt>
                <c:pt idx="636">
                  <c:v>132300</c:v>
                </c:pt>
                <c:pt idx="637">
                  <c:v>132305</c:v>
                </c:pt>
                <c:pt idx="638">
                  <c:v>132310</c:v>
                </c:pt>
                <c:pt idx="639">
                  <c:v>132315</c:v>
                </c:pt>
                <c:pt idx="640">
                  <c:v>132320</c:v>
                </c:pt>
                <c:pt idx="641">
                  <c:v>132325</c:v>
                </c:pt>
                <c:pt idx="642">
                  <c:v>132330</c:v>
                </c:pt>
                <c:pt idx="643">
                  <c:v>132335</c:v>
                </c:pt>
                <c:pt idx="644">
                  <c:v>132340</c:v>
                </c:pt>
                <c:pt idx="645">
                  <c:v>132345</c:v>
                </c:pt>
                <c:pt idx="646">
                  <c:v>132350</c:v>
                </c:pt>
                <c:pt idx="647">
                  <c:v>132355</c:v>
                </c:pt>
                <c:pt idx="648">
                  <c:v>132400</c:v>
                </c:pt>
                <c:pt idx="649">
                  <c:v>132405</c:v>
                </c:pt>
                <c:pt idx="650">
                  <c:v>132410</c:v>
                </c:pt>
                <c:pt idx="651">
                  <c:v>132415</c:v>
                </c:pt>
                <c:pt idx="652">
                  <c:v>132420</c:v>
                </c:pt>
                <c:pt idx="653">
                  <c:v>132425</c:v>
                </c:pt>
                <c:pt idx="654">
                  <c:v>132430</c:v>
                </c:pt>
                <c:pt idx="655">
                  <c:v>132435</c:v>
                </c:pt>
                <c:pt idx="656">
                  <c:v>132440</c:v>
                </c:pt>
                <c:pt idx="657">
                  <c:v>132445</c:v>
                </c:pt>
                <c:pt idx="658">
                  <c:v>132450</c:v>
                </c:pt>
                <c:pt idx="659">
                  <c:v>132455</c:v>
                </c:pt>
                <c:pt idx="660">
                  <c:v>133100</c:v>
                </c:pt>
              </c:numCache>
            </c:numRef>
          </c:cat>
          <c:val>
            <c:numRef>
              <c:f>結算估價!$F$7:$F$666</c:f>
              <c:numCache>
                <c:formatCode>General</c:formatCode>
                <c:ptCount val="660"/>
                <c:pt idx="0">
                  <c:v>1810</c:v>
                </c:pt>
                <c:pt idx="1">
                  <c:v>1815</c:v>
                </c:pt>
                <c:pt idx="2">
                  <c:v>1810</c:v>
                </c:pt>
                <c:pt idx="3">
                  <c:v>1810</c:v>
                </c:pt>
                <c:pt idx="4">
                  <c:v>1810</c:v>
                </c:pt>
                <c:pt idx="5">
                  <c:v>1810</c:v>
                </c:pt>
                <c:pt idx="6">
                  <c:v>1810</c:v>
                </c:pt>
                <c:pt idx="7">
                  <c:v>1810</c:v>
                </c:pt>
                <c:pt idx="8">
                  <c:v>1810</c:v>
                </c:pt>
                <c:pt idx="9">
                  <c:v>1815</c:v>
                </c:pt>
                <c:pt idx="10">
                  <c:v>1815</c:v>
                </c:pt>
                <c:pt idx="11">
                  <c:v>1815</c:v>
                </c:pt>
                <c:pt idx="12">
                  <c:v>1810</c:v>
                </c:pt>
                <c:pt idx="13">
                  <c:v>1810</c:v>
                </c:pt>
                <c:pt idx="14">
                  <c:v>1810</c:v>
                </c:pt>
                <c:pt idx="15">
                  <c:v>1810</c:v>
                </c:pt>
                <c:pt idx="16">
                  <c:v>1810</c:v>
                </c:pt>
                <c:pt idx="17">
                  <c:v>1815</c:v>
                </c:pt>
                <c:pt idx="18">
                  <c:v>1815</c:v>
                </c:pt>
                <c:pt idx="19">
                  <c:v>1810</c:v>
                </c:pt>
                <c:pt idx="20">
                  <c:v>1810</c:v>
                </c:pt>
                <c:pt idx="21">
                  <c:v>1810</c:v>
                </c:pt>
                <c:pt idx="22">
                  <c:v>1815</c:v>
                </c:pt>
                <c:pt idx="23">
                  <c:v>1815</c:v>
                </c:pt>
                <c:pt idx="24">
                  <c:v>1810</c:v>
                </c:pt>
                <c:pt idx="25">
                  <c:v>1810</c:v>
                </c:pt>
                <c:pt idx="26">
                  <c:v>1810</c:v>
                </c:pt>
                <c:pt idx="27">
                  <c:v>1810</c:v>
                </c:pt>
                <c:pt idx="28">
                  <c:v>1810</c:v>
                </c:pt>
                <c:pt idx="29">
                  <c:v>1810</c:v>
                </c:pt>
                <c:pt idx="30">
                  <c:v>1810</c:v>
                </c:pt>
                <c:pt idx="31">
                  <c:v>1810</c:v>
                </c:pt>
                <c:pt idx="32">
                  <c:v>1810</c:v>
                </c:pt>
                <c:pt idx="33">
                  <c:v>1815</c:v>
                </c:pt>
                <c:pt idx="34">
                  <c:v>1815</c:v>
                </c:pt>
                <c:pt idx="35">
                  <c:v>1815</c:v>
                </c:pt>
                <c:pt idx="36">
                  <c:v>1815</c:v>
                </c:pt>
                <c:pt idx="37">
                  <c:v>1815</c:v>
                </c:pt>
                <c:pt idx="38">
                  <c:v>1810</c:v>
                </c:pt>
                <c:pt idx="39">
                  <c:v>1810</c:v>
                </c:pt>
                <c:pt idx="40">
                  <c:v>1810</c:v>
                </c:pt>
                <c:pt idx="41">
                  <c:v>1810</c:v>
                </c:pt>
                <c:pt idx="42">
                  <c:v>1810</c:v>
                </c:pt>
                <c:pt idx="43">
                  <c:v>1810</c:v>
                </c:pt>
                <c:pt idx="44">
                  <c:v>1810</c:v>
                </c:pt>
                <c:pt idx="45">
                  <c:v>1810</c:v>
                </c:pt>
                <c:pt idx="46">
                  <c:v>1810</c:v>
                </c:pt>
                <c:pt idx="47">
                  <c:v>1815</c:v>
                </c:pt>
                <c:pt idx="48">
                  <c:v>1810</c:v>
                </c:pt>
                <c:pt idx="49">
                  <c:v>1810</c:v>
                </c:pt>
                <c:pt idx="50">
                  <c:v>1810</c:v>
                </c:pt>
                <c:pt idx="51">
                  <c:v>1815</c:v>
                </c:pt>
                <c:pt idx="52">
                  <c:v>1810</c:v>
                </c:pt>
                <c:pt idx="53">
                  <c:v>1810</c:v>
                </c:pt>
                <c:pt idx="54">
                  <c:v>1810</c:v>
                </c:pt>
                <c:pt idx="55">
                  <c:v>1810</c:v>
                </c:pt>
                <c:pt idx="56">
                  <c:v>1810</c:v>
                </c:pt>
                <c:pt idx="57">
                  <c:v>1810</c:v>
                </c:pt>
                <c:pt idx="58">
                  <c:v>1810</c:v>
                </c:pt>
                <c:pt idx="59">
                  <c:v>1815</c:v>
                </c:pt>
                <c:pt idx="60">
                  <c:v>1810</c:v>
                </c:pt>
                <c:pt idx="61">
                  <c:v>1810</c:v>
                </c:pt>
                <c:pt idx="62">
                  <c:v>1810</c:v>
                </c:pt>
                <c:pt idx="63">
                  <c:v>1815</c:v>
                </c:pt>
                <c:pt idx="64">
                  <c:v>1810</c:v>
                </c:pt>
                <c:pt idx="65">
                  <c:v>1810</c:v>
                </c:pt>
                <c:pt idx="66">
                  <c:v>1810</c:v>
                </c:pt>
                <c:pt idx="67">
                  <c:v>1810</c:v>
                </c:pt>
                <c:pt idx="68">
                  <c:v>1810</c:v>
                </c:pt>
                <c:pt idx="69">
                  <c:v>1810</c:v>
                </c:pt>
                <c:pt idx="70">
                  <c:v>1810</c:v>
                </c:pt>
                <c:pt idx="71">
                  <c:v>1815</c:v>
                </c:pt>
                <c:pt idx="72">
                  <c:v>1810</c:v>
                </c:pt>
                <c:pt idx="73">
                  <c:v>1810</c:v>
                </c:pt>
                <c:pt idx="74">
                  <c:v>1810</c:v>
                </c:pt>
                <c:pt idx="75">
                  <c:v>1810</c:v>
                </c:pt>
                <c:pt idx="76">
                  <c:v>1810</c:v>
                </c:pt>
                <c:pt idx="77">
                  <c:v>1815</c:v>
                </c:pt>
                <c:pt idx="78">
                  <c:v>1815</c:v>
                </c:pt>
                <c:pt idx="79">
                  <c:v>1815</c:v>
                </c:pt>
                <c:pt idx="80">
                  <c:v>1810</c:v>
                </c:pt>
                <c:pt idx="81">
                  <c:v>1810</c:v>
                </c:pt>
                <c:pt idx="82">
                  <c:v>1810</c:v>
                </c:pt>
                <c:pt idx="83">
                  <c:v>1810</c:v>
                </c:pt>
                <c:pt idx="84">
                  <c:v>1810</c:v>
                </c:pt>
                <c:pt idx="85">
                  <c:v>1810</c:v>
                </c:pt>
                <c:pt idx="86">
                  <c:v>1810</c:v>
                </c:pt>
                <c:pt idx="87">
                  <c:v>1815</c:v>
                </c:pt>
                <c:pt idx="88">
                  <c:v>1810</c:v>
                </c:pt>
                <c:pt idx="89">
                  <c:v>1810</c:v>
                </c:pt>
                <c:pt idx="90">
                  <c:v>1810</c:v>
                </c:pt>
                <c:pt idx="91">
                  <c:v>1810</c:v>
                </c:pt>
                <c:pt idx="92">
                  <c:v>1810</c:v>
                </c:pt>
                <c:pt idx="93">
                  <c:v>1815</c:v>
                </c:pt>
                <c:pt idx="94">
                  <c:v>1810</c:v>
                </c:pt>
                <c:pt idx="95">
                  <c:v>1815</c:v>
                </c:pt>
                <c:pt idx="96">
                  <c:v>1810</c:v>
                </c:pt>
                <c:pt idx="97">
                  <c:v>1815</c:v>
                </c:pt>
                <c:pt idx="98">
                  <c:v>1810</c:v>
                </c:pt>
                <c:pt idx="99">
                  <c:v>1810</c:v>
                </c:pt>
                <c:pt idx="100">
                  <c:v>1810</c:v>
                </c:pt>
                <c:pt idx="101">
                  <c:v>1810</c:v>
                </c:pt>
                <c:pt idx="102">
                  <c:v>1810</c:v>
                </c:pt>
                <c:pt idx="103">
                  <c:v>1805</c:v>
                </c:pt>
                <c:pt idx="104">
                  <c:v>1805</c:v>
                </c:pt>
                <c:pt idx="105">
                  <c:v>1805</c:v>
                </c:pt>
                <c:pt idx="106">
                  <c:v>1805</c:v>
                </c:pt>
                <c:pt idx="107">
                  <c:v>1805</c:v>
                </c:pt>
                <c:pt idx="108">
                  <c:v>1805</c:v>
                </c:pt>
                <c:pt idx="109">
                  <c:v>1810</c:v>
                </c:pt>
                <c:pt idx="110">
                  <c:v>1810</c:v>
                </c:pt>
                <c:pt idx="111">
                  <c:v>1805</c:v>
                </c:pt>
                <c:pt idx="112">
                  <c:v>1805</c:v>
                </c:pt>
                <c:pt idx="113">
                  <c:v>1805</c:v>
                </c:pt>
                <c:pt idx="114">
                  <c:v>1805</c:v>
                </c:pt>
                <c:pt idx="115">
                  <c:v>1810</c:v>
                </c:pt>
                <c:pt idx="116">
                  <c:v>1805</c:v>
                </c:pt>
                <c:pt idx="117">
                  <c:v>1810</c:v>
                </c:pt>
                <c:pt idx="118">
                  <c:v>1810</c:v>
                </c:pt>
                <c:pt idx="119">
                  <c:v>1810</c:v>
                </c:pt>
                <c:pt idx="120">
                  <c:v>1805</c:v>
                </c:pt>
                <c:pt idx="121">
                  <c:v>1810</c:v>
                </c:pt>
                <c:pt idx="122">
                  <c:v>1805</c:v>
                </c:pt>
                <c:pt idx="123">
                  <c:v>1805</c:v>
                </c:pt>
                <c:pt idx="124">
                  <c:v>1805</c:v>
                </c:pt>
                <c:pt idx="125">
                  <c:v>1810</c:v>
                </c:pt>
                <c:pt idx="126">
                  <c:v>1810</c:v>
                </c:pt>
                <c:pt idx="127">
                  <c:v>1810</c:v>
                </c:pt>
                <c:pt idx="128">
                  <c:v>1805</c:v>
                </c:pt>
                <c:pt idx="129">
                  <c:v>1805</c:v>
                </c:pt>
                <c:pt idx="130">
                  <c:v>1805</c:v>
                </c:pt>
                <c:pt idx="131">
                  <c:v>1805</c:v>
                </c:pt>
                <c:pt idx="132">
                  <c:v>1805</c:v>
                </c:pt>
                <c:pt idx="133">
                  <c:v>1805</c:v>
                </c:pt>
                <c:pt idx="134">
                  <c:v>1810</c:v>
                </c:pt>
                <c:pt idx="135">
                  <c:v>1805</c:v>
                </c:pt>
                <c:pt idx="136">
                  <c:v>1805</c:v>
                </c:pt>
                <c:pt idx="137">
                  <c:v>1810</c:v>
                </c:pt>
                <c:pt idx="138">
                  <c:v>1810</c:v>
                </c:pt>
                <c:pt idx="139">
                  <c:v>1810</c:v>
                </c:pt>
                <c:pt idx="140">
                  <c:v>1805</c:v>
                </c:pt>
                <c:pt idx="141">
                  <c:v>1805</c:v>
                </c:pt>
                <c:pt idx="142">
                  <c:v>1810</c:v>
                </c:pt>
                <c:pt idx="143">
                  <c:v>1810</c:v>
                </c:pt>
                <c:pt idx="144">
                  <c:v>1805</c:v>
                </c:pt>
                <c:pt idx="145">
                  <c:v>1805</c:v>
                </c:pt>
                <c:pt idx="146">
                  <c:v>1805</c:v>
                </c:pt>
                <c:pt idx="147">
                  <c:v>1810</c:v>
                </c:pt>
                <c:pt idx="148">
                  <c:v>1805</c:v>
                </c:pt>
                <c:pt idx="149">
                  <c:v>1810</c:v>
                </c:pt>
                <c:pt idx="150">
                  <c:v>1810</c:v>
                </c:pt>
                <c:pt idx="151">
                  <c:v>1805</c:v>
                </c:pt>
                <c:pt idx="152">
                  <c:v>1805</c:v>
                </c:pt>
                <c:pt idx="153">
                  <c:v>1805</c:v>
                </c:pt>
                <c:pt idx="154">
                  <c:v>1805</c:v>
                </c:pt>
                <c:pt idx="155">
                  <c:v>1805</c:v>
                </c:pt>
                <c:pt idx="156">
                  <c:v>1805</c:v>
                </c:pt>
                <c:pt idx="157">
                  <c:v>1810</c:v>
                </c:pt>
                <c:pt idx="158">
                  <c:v>1810</c:v>
                </c:pt>
                <c:pt idx="159">
                  <c:v>1810</c:v>
                </c:pt>
                <c:pt idx="160">
                  <c:v>1805</c:v>
                </c:pt>
                <c:pt idx="161">
                  <c:v>1805</c:v>
                </c:pt>
                <c:pt idx="162">
                  <c:v>1810</c:v>
                </c:pt>
                <c:pt idx="163">
                  <c:v>1805</c:v>
                </c:pt>
                <c:pt idx="164">
                  <c:v>1805</c:v>
                </c:pt>
                <c:pt idx="165">
                  <c:v>1805</c:v>
                </c:pt>
                <c:pt idx="166">
                  <c:v>1805</c:v>
                </c:pt>
                <c:pt idx="167">
                  <c:v>1805</c:v>
                </c:pt>
                <c:pt idx="168">
                  <c:v>1805</c:v>
                </c:pt>
                <c:pt idx="169">
                  <c:v>1805</c:v>
                </c:pt>
                <c:pt idx="170">
                  <c:v>1805</c:v>
                </c:pt>
                <c:pt idx="171">
                  <c:v>1810</c:v>
                </c:pt>
                <c:pt idx="172">
                  <c:v>1805</c:v>
                </c:pt>
                <c:pt idx="173">
                  <c:v>1810</c:v>
                </c:pt>
                <c:pt idx="174">
                  <c:v>1810</c:v>
                </c:pt>
                <c:pt idx="175">
                  <c:v>1805</c:v>
                </c:pt>
                <c:pt idx="176">
                  <c:v>1805</c:v>
                </c:pt>
                <c:pt idx="177">
                  <c:v>1805</c:v>
                </c:pt>
                <c:pt idx="178">
                  <c:v>1805</c:v>
                </c:pt>
                <c:pt idx="179">
                  <c:v>1805</c:v>
                </c:pt>
                <c:pt idx="180">
                  <c:v>1805</c:v>
                </c:pt>
                <c:pt idx="181">
                  <c:v>1805</c:v>
                </c:pt>
                <c:pt idx="182">
                  <c:v>1805</c:v>
                </c:pt>
                <c:pt idx="183">
                  <c:v>1810</c:v>
                </c:pt>
                <c:pt idx="184">
                  <c:v>1805</c:v>
                </c:pt>
                <c:pt idx="185">
                  <c:v>1805</c:v>
                </c:pt>
                <c:pt idx="186">
                  <c:v>1810</c:v>
                </c:pt>
                <c:pt idx="187">
                  <c:v>1810</c:v>
                </c:pt>
                <c:pt idx="188">
                  <c:v>1805</c:v>
                </c:pt>
                <c:pt idx="189">
                  <c:v>1810</c:v>
                </c:pt>
                <c:pt idx="190">
                  <c:v>1805</c:v>
                </c:pt>
                <c:pt idx="191">
                  <c:v>1810</c:v>
                </c:pt>
                <c:pt idx="192">
                  <c:v>1805</c:v>
                </c:pt>
                <c:pt idx="193">
                  <c:v>1805</c:v>
                </c:pt>
                <c:pt idx="194">
                  <c:v>1805</c:v>
                </c:pt>
                <c:pt idx="195">
                  <c:v>1805</c:v>
                </c:pt>
                <c:pt idx="196">
                  <c:v>1805</c:v>
                </c:pt>
                <c:pt idx="197">
                  <c:v>1810</c:v>
                </c:pt>
                <c:pt idx="198">
                  <c:v>1810</c:v>
                </c:pt>
                <c:pt idx="199">
                  <c:v>1810</c:v>
                </c:pt>
                <c:pt idx="200">
                  <c:v>1805</c:v>
                </c:pt>
                <c:pt idx="201">
                  <c:v>1805</c:v>
                </c:pt>
                <c:pt idx="202">
                  <c:v>1805</c:v>
                </c:pt>
                <c:pt idx="203">
                  <c:v>1810</c:v>
                </c:pt>
                <c:pt idx="204">
                  <c:v>1805</c:v>
                </c:pt>
                <c:pt idx="205">
                  <c:v>1805</c:v>
                </c:pt>
                <c:pt idx="206">
                  <c:v>1810</c:v>
                </c:pt>
                <c:pt idx="207">
                  <c:v>1810</c:v>
                </c:pt>
                <c:pt idx="208">
                  <c:v>1805</c:v>
                </c:pt>
                <c:pt idx="209">
                  <c:v>1805</c:v>
                </c:pt>
                <c:pt idx="210">
                  <c:v>1805</c:v>
                </c:pt>
                <c:pt idx="211">
                  <c:v>1805</c:v>
                </c:pt>
                <c:pt idx="212">
                  <c:v>1805</c:v>
                </c:pt>
                <c:pt idx="213">
                  <c:v>1805</c:v>
                </c:pt>
                <c:pt idx="214">
                  <c:v>1805</c:v>
                </c:pt>
                <c:pt idx="215">
                  <c:v>1805</c:v>
                </c:pt>
                <c:pt idx="216">
                  <c:v>1805</c:v>
                </c:pt>
                <c:pt idx="217">
                  <c:v>1810</c:v>
                </c:pt>
                <c:pt idx="218">
                  <c:v>1810</c:v>
                </c:pt>
                <c:pt idx="219">
                  <c:v>1810</c:v>
                </c:pt>
                <c:pt idx="220">
                  <c:v>1805</c:v>
                </c:pt>
                <c:pt idx="221">
                  <c:v>1810</c:v>
                </c:pt>
                <c:pt idx="222">
                  <c:v>1805</c:v>
                </c:pt>
                <c:pt idx="223">
                  <c:v>1805</c:v>
                </c:pt>
                <c:pt idx="224">
                  <c:v>1805</c:v>
                </c:pt>
                <c:pt idx="225">
                  <c:v>1805</c:v>
                </c:pt>
                <c:pt idx="226">
                  <c:v>1805</c:v>
                </c:pt>
                <c:pt idx="227">
                  <c:v>1805</c:v>
                </c:pt>
                <c:pt idx="228">
                  <c:v>1805</c:v>
                </c:pt>
                <c:pt idx="229">
                  <c:v>1805</c:v>
                </c:pt>
                <c:pt idx="230">
                  <c:v>1805</c:v>
                </c:pt>
                <c:pt idx="231">
                  <c:v>1810</c:v>
                </c:pt>
                <c:pt idx="232">
                  <c:v>1805</c:v>
                </c:pt>
                <c:pt idx="233">
                  <c:v>1810</c:v>
                </c:pt>
                <c:pt idx="234">
                  <c:v>1810</c:v>
                </c:pt>
                <c:pt idx="235">
                  <c:v>1810</c:v>
                </c:pt>
                <c:pt idx="236">
                  <c:v>1805</c:v>
                </c:pt>
                <c:pt idx="237">
                  <c:v>1805</c:v>
                </c:pt>
                <c:pt idx="238">
                  <c:v>1805</c:v>
                </c:pt>
                <c:pt idx="239">
                  <c:v>1805</c:v>
                </c:pt>
                <c:pt idx="240">
                  <c:v>1805</c:v>
                </c:pt>
                <c:pt idx="241">
                  <c:v>1805</c:v>
                </c:pt>
                <c:pt idx="242">
                  <c:v>1805</c:v>
                </c:pt>
                <c:pt idx="243">
                  <c:v>1810</c:v>
                </c:pt>
                <c:pt idx="244">
                  <c:v>1805</c:v>
                </c:pt>
                <c:pt idx="245">
                  <c:v>1805</c:v>
                </c:pt>
                <c:pt idx="246">
                  <c:v>1805</c:v>
                </c:pt>
                <c:pt idx="247">
                  <c:v>1810</c:v>
                </c:pt>
                <c:pt idx="248">
                  <c:v>1805</c:v>
                </c:pt>
                <c:pt idx="249">
                  <c:v>1810</c:v>
                </c:pt>
                <c:pt idx="250">
                  <c:v>1810</c:v>
                </c:pt>
                <c:pt idx="251">
                  <c:v>1810</c:v>
                </c:pt>
                <c:pt idx="252">
                  <c:v>1805</c:v>
                </c:pt>
                <c:pt idx="253">
                  <c:v>1805</c:v>
                </c:pt>
                <c:pt idx="254">
                  <c:v>1805</c:v>
                </c:pt>
                <c:pt idx="255">
                  <c:v>1805</c:v>
                </c:pt>
                <c:pt idx="256">
                  <c:v>1805</c:v>
                </c:pt>
                <c:pt idx="257">
                  <c:v>1810</c:v>
                </c:pt>
                <c:pt idx="258">
                  <c:v>1810</c:v>
                </c:pt>
                <c:pt idx="259">
                  <c:v>1810</c:v>
                </c:pt>
                <c:pt idx="260">
                  <c:v>1810</c:v>
                </c:pt>
                <c:pt idx="261">
                  <c:v>1810</c:v>
                </c:pt>
                <c:pt idx="262">
                  <c:v>1810</c:v>
                </c:pt>
                <c:pt idx="263">
                  <c:v>1810</c:v>
                </c:pt>
                <c:pt idx="264">
                  <c:v>1805</c:v>
                </c:pt>
                <c:pt idx="265">
                  <c:v>1805</c:v>
                </c:pt>
                <c:pt idx="266">
                  <c:v>1810</c:v>
                </c:pt>
                <c:pt idx="267">
                  <c:v>1810</c:v>
                </c:pt>
                <c:pt idx="268">
                  <c:v>1805</c:v>
                </c:pt>
                <c:pt idx="269">
                  <c:v>1805</c:v>
                </c:pt>
                <c:pt idx="270">
                  <c:v>1805</c:v>
                </c:pt>
                <c:pt idx="271">
                  <c:v>1810</c:v>
                </c:pt>
                <c:pt idx="272">
                  <c:v>1805</c:v>
                </c:pt>
                <c:pt idx="273">
                  <c:v>1810</c:v>
                </c:pt>
                <c:pt idx="274">
                  <c:v>1810</c:v>
                </c:pt>
                <c:pt idx="275">
                  <c:v>1805</c:v>
                </c:pt>
                <c:pt idx="276">
                  <c:v>1805</c:v>
                </c:pt>
                <c:pt idx="277">
                  <c:v>1805</c:v>
                </c:pt>
                <c:pt idx="278">
                  <c:v>1810</c:v>
                </c:pt>
                <c:pt idx="279">
                  <c:v>1810</c:v>
                </c:pt>
                <c:pt idx="280">
                  <c:v>1805</c:v>
                </c:pt>
                <c:pt idx="281">
                  <c:v>1810</c:v>
                </c:pt>
                <c:pt idx="282">
                  <c:v>1810</c:v>
                </c:pt>
                <c:pt idx="283">
                  <c:v>1805</c:v>
                </c:pt>
                <c:pt idx="284">
                  <c:v>1805</c:v>
                </c:pt>
                <c:pt idx="285">
                  <c:v>1805</c:v>
                </c:pt>
                <c:pt idx="286">
                  <c:v>1805</c:v>
                </c:pt>
                <c:pt idx="287">
                  <c:v>1805</c:v>
                </c:pt>
                <c:pt idx="288">
                  <c:v>1805</c:v>
                </c:pt>
                <c:pt idx="289">
                  <c:v>1805</c:v>
                </c:pt>
                <c:pt idx="290">
                  <c:v>1810</c:v>
                </c:pt>
                <c:pt idx="291">
                  <c:v>1805</c:v>
                </c:pt>
                <c:pt idx="292">
                  <c:v>1805</c:v>
                </c:pt>
                <c:pt idx="293">
                  <c:v>1810</c:v>
                </c:pt>
                <c:pt idx="294">
                  <c:v>1805</c:v>
                </c:pt>
                <c:pt idx="295">
                  <c:v>1805</c:v>
                </c:pt>
                <c:pt idx="296">
                  <c:v>1805</c:v>
                </c:pt>
                <c:pt idx="297">
                  <c:v>1810</c:v>
                </c:pt>
                <c:pt idx="298">
                  <c:v>1805</c:v>
                </c:pt>
                <c:pt idx="299">
                  <c:v>1810</c:v>
                </c:pt>
                <c:pt idx="300">
                  <c:v>1805</c:v>
                </c:pt>
                <c:pt idx="301">
                  <c:v>1805</c:v>
                </c:pt>
                <c:pt idx="302">
                  <c:v>1810</c:v>
                </c:pt>
                <c:pt idx="303">
                  <c:v>1805</c:v>
                </c:pt>
                <c:pt idx="304">
                  <c:v>1805</c:v>
                </c:pt>
                <c:pt idx="305">
                  <c:v>1805</c:v>
                </c:pt>
                <c:pt idx="306">
                  <c:v>1810</c:v>
                </c:pt>
                <c:pt idx="307">
                  <c:v>1810</c:v>
                </c:pt>
                <c:pt idx="308">
                  <c:v>1805</c:v>
                </c:pt>
                <c:pt idx="309">
                  <c:v>1805</c:v>
                </c:pt>
                <c:pt idx="310">
                  <c:v>1805</c:v>
                </c:pt>
                <c:pt idx="311">
                  <c:v>1805</c:v>
                </c:pt>
                <c:pt idx="312">
                  <c:v>1805</c:v>
                </c:pt>
                <c:pt idx="313">
                  <c:v>1810</c:v>
                </c:pt>
                <c:pt idx="314">
                  <c:v>1805</c:v>
                </c:pt>
                <c:pt idx="315">
                  <c:v>1810</c:v>
                </c:pt>
                <c:pt idx="316">
                  <c:v>1805</c:v>
                </c:pt>
                <c:pt idx="317">
                  <c:v>1805</c:v>
                </c:pt>
                <c:pt idx="318">
                  <c:v>1810</c:v>
                </c:pt>
                <c:pt idx="319">
                  <c:v>1805</c:v>
                </c:pt>
                <c:pt idx="320">
                  <c:v>1805</c:v>
                </c:pt>
                <c:pt idx="321">
                  <c:v>1810</c:v>
                </c:pt>
                <c:pt idx="322">
                  <c:v>1810</c:v>
                </c:pt>
                <c:pt idx="323">
                  <c:v>1810</c:v>
                </c:pt>
                <c:pt idx="324">
                  <c:v>1805</c:v>
                </c:pt>
                <c:pt idx="325">
                  <c:v>1810</c:v>
                </c:pt>
                <c:pt idx="326">
                  <c:v>1810</c:v>
                </c:pt>
                <c:pt idx="327">
                  <c:v>1810</c:v>
                </c:pt>
                <c:pt idx="328">
                  <c:v>1805</c:v>
                </c:pt>
                <c:pt idx="329">
                  <c:v>1810</c:v>
                </c:pt>
                <c:pt idx="330">
                  <c:v>1805</c:v>
                </c:pt>
                <c:pt idx="331">
                  <c:v>1805</c:v>
                </c:pt>
                <c:pt idx="332">
                  <c:v>1805</c:v>
                </c:pt>
                <c:pt idx="333">
                  <c:v>1805</c:v>
                </c:pt>
                <c:pt idx="334">
                  <c:v>1810</c:v>
                </c:pt>
                <c:pt idx="335">
                  <c:v>1810</c:v>
                </c:pt>
                <c:pt idx="336">
                  <c:v>1805</c:v>
                </c:pt>
                <c:pt idx="337">
                  <c:v>1805</c:v>
                </c:pt>
                <c:pt idx="338">
                  <c:v>1805</c:v>
                </c:pt>
                <c:pt idx="339">
                  <c:v>1810</c:v>
                </c:pt>
                <c:pt idx="340">
                  <c:v>1805</c:v>
                </c:pt>
                <c:pt idx="341">
                  <c:v>1805</c:v>
                </c:pt>
                <c:pt idx="342">
                  <c:v>1805</c:v>
                </c:pt>
                <c:pt idx="343">
                  <c:v>1805</c:v>
                </c:pt>
                <c:pt idx="344">
                  <c:v>1805</c:v>
                </c:pt>
                <c:pt idx="345">
                  <c:v>1810</c:v>
                </c:pt>
                <c:pt idx="346">
                  <c:v>1805</c:v>
                </c:pt>
                <c:pt idx="347">
                  <c:v>1810</c:v>
                </c:pt>
                <c:pt idx="348">
                  <c:v>1805</c:v>
                </c:pt>
                <c:pt idx="349">
                  <c:v>1805</c:v>
                </c:pt>
                <c:pt idx="350">
                  <c:v>1805</c:v>
                </c:pt>
                <c:pt idx="351">
                  <c:v>1805</c:v>
                </c:pt>
                <c:pt idx="352">
                  <c:v>1805</c:v>
                </c:pt>
                <c:pt idx="353">
                  <c:v>1805</c:v>
                </c:pt>
                <c:pt idx="354">
                  <c:v>1810</c:v>
                </c:pt>
                <c:pt idx="355">
                  <c:v>1805</c:v>
                </c:pt>
                <c:pt idx="356">
                  <c:v>1805</c:v>
                </c:pt>
                <c:pt idx="357">
                  <c:v>1810</c:v>
                </c:pt>
                <c:pt idx="358">
                  <c:v>1810</c:v>
                </c:pt>
                <c:pt idx="359">
                  <c:v>1805</c:v>
                </c:pt>
                <c:pt idx="360">
                  <c:v>1805</c:v>
                </c:pt>
                <c:pt idx="361">
                  <c:v>1810</c:v>
                </c:pt>
                <c:pt idx="362">
                  <c:v>1805</c:v>
                </c:pt>
                <c:pt idx="363">
                  <c:v>1805</c:v>
                </c:pt>
                <c:pt idx="364">
                  <c:v>1805</c:v>
                </c:pt>
                <c:pt idx="365">
                  <c:v>1805</c:v>
                </c:pt>
                <c:pt idx="366">
                  <c:v>1805</c:v>
                </c:pt>
                <c:pt idx="367">
                  <c:v>1805</c:v>
                </c:pt>
                <c:pt idx="368">
                  <c:v>1805</c:v>
                </c:pt>
                <c:pt idx="369">
                  <c:v>1805</c:v>
                </c:pt>
                <c:pt idx="370">
                  <c:v>1805</c:v>
                </c:pt>
                <c:pt idx="371">
                  <c:v>1805</c:v>
                </c:pt>
                <c:pt idx="372">
                  <c:v>1805</c:v>
                </c:pt>
                <c:pt idx="373">
                  <c:v>1805</c:v>
                </c:pt>
                <c:pt idx="374">
                  <c:v>1805</c:v>
                </c:pt>
                <c:pt idx="375">
                  <c:v>1805</c:v>
                </c:pt>
                <c:pt idx="376">
                  <c:v>1805</c:v>
                </c:pt>
                <c:pt idx="377">
                  <c:v>1805</c:v>
                </c:pt>
                <c:pt idx="378">
                  <c:v>1805</c:v>
                </c:pt>
                <c:pt idx="379">
                  <c:v>1805</c:v>
                </c:pt>
                <c:pt idx="380">
                  <c:v>1805</c:v>
                </c:pt>
                <c:pt idx="381">
                  <c:v>1805</c:v>
                </c:pt>
                <c:pt idx="382">
                  <c:v>1805</c:v>
                </c:pt>
                <c:pt idx="383">
                  <c:v>1810</c:v>
                </c:pt>
                <c:pt idx="384">
                  <c:v>1805</c:v>
                </c:pt>
                <c:pt idx="385">
                  <c:v>1805</c:v>
                </c:pt>
                <c:pt idx="386">
                  <c:v>1805</c:v>
                </c:pt>
                <c:pt idx="387">
                  <c:v>1805</c:v>
                </c:pt>
                <c:pt idx="388">
                  <c:v>1805</c:v>
                </c:pt>
                <c:pt idx="389">
                  <c:v>1805</c:v>
                </c:pt>
                <c:pt idx="390">
                  <c:v>1805</c:v>
                </c:pt>
                <c:pt idx="391">
                  <c:v>1805</c:v>
                </c:pt>
                <c:pt idx="392">
                  <c:v>1805</c:v>
                </c:pt>
                <c:pt idx="393">
                  <c:v>1805</c:v>
                </c:pt>
                <c:pt idx="394">
                  <c:v>1805</c:v>
                </c:pt>
                <c:pt idx="395">
                  <c:v>1810</c:v>
                </c:pt>
                <c:pt idx="396">
                  <c:v>1805</c:v>
                </c:pt>
                <c:pt idx="397">
                  <c:v>1810</c:v>
                </c:pt>
                <c:pt idx="398">
                  <c:v>1805</c:v>
                </c:pt>
                <c:pt idx="399">
                  <c:v>1805</c:v>
                </c:pt>
                <c:pt idx="400">
                  <c:v>1805</c:v>
                </c:pt>
                <c:pt idx="401">
                  <c:v>1805</c:v>
                </c:pt>
                <c:pt idx="402">
                  <c:v>1805</c:v>
                </c:pt>
                <c:pt idx="403">
                  <c:v>1805</c:v>
                </c:pt>
                <c:pt idx="404">
                  <c:v>1805</c:v>
                </c:pt>
                <c:pt idx="405">
                  <c:v>1805</c:v>
                </c:pt>
                <c:pt idx="406">
                  <c:v>1805</c:v>
                </c:pt>
                <c:pt idx="407">
                  <c:v>1805</c:v>
                </c:pt>
                <c:pt idx="408">
                  <c:v>1805</c:v>
                </c:pt>
                <c:pt idx="409">
                  <c:v>1805</c:v>
                </c:pt>
                <c:pt idx="410">
                  <c:v>1805</c:v>
                </c:pt>
                <c:pt idx="411">
                  <c:v>1805</c:v>
                </c:pt>
                <c:pt idx="412">
                  <c:v>1805</c:v>
                </c:pt>
                <c:pt idx="413">
                  <c:v>1805</c:v>
                </c:pt>
                <c:pt idx="414">
                  <c:v>1805</c:v>
                </c:pt>
                <c:pt idx="415">
                  <c:v>1805</c:v>
                </c:pt>
                <c:pt idx="416">
                  <c:v>1805</c:v>
                </c:pt>
                <c:pt idx="417">
                  <c:v>1805</c:v>
                </c:pt>
                <c:pt idx="418">
                  <c:v>1805</c:v>
                </c:pt>
                <c:pt idx="419">
                  <c:v>1805</c:v>
                </c:pt>
                <c:pt idx="420">
                  <c:v>1805</c:v>
                </c:pt>
                <c:pt idx="421">
                  <c:v>1805</c:v>
                </c:pt>
                <c:pt idx="422">
                  <c:v>1805</c:v>
                </c:pt>
                <c:pt idx="423">
                  <c:v>1805</c:v>
                </c:pt>
                <c:pt idx="424">
                  <c:v>1805</c:v>
                </c:pt>
                <c:pt idx="425">
                  <c:v>1805</c:v>
                </c:pt>
                <c:pt idx="426">
                  <c:v>1810</c:v>
                </c:pt>
                <c:pt idx="427">
                  <c:v>1805</c:v>
                </c:pt>
                <c:pt idx="428">
                  <c:v>1805</c:v>
                </c:pt>
                <c:pt idx="429">
                  <c:v>1810</c:v>
                </c:pt>
                <c:pt idx="430">
                  <c:v>1805</c:v>
                </c:pt>
                <c:pt idx="431">
                  <c:v>1805</c:v>
                </c:pt>
                <c:pt idx="432">
                  <c:v>1805</c:v>
                </c:pt>
                <c:pt idx="433">
                  <c:v>1805</c:v>
                </c:pt>
                <c:pt idx="434">
                  <c:v>1805</c:v>
                </c:pt>
                <c:pt idx="435">
                  <c:v>1805</c:v>
                </c:pt>
                <c:pt idx="436">
                  <c:v>1805</c:v>
                </c:pt>
                <c:pt idx="437">
                  <c:v>1805</c:v>
                </c:pt>
                <c:pt idx="438">
                  <c:v>1805</c:v>
                </c:pt>
                <c:pt idx="439">
                  <c:v>1805</c:v>
                </c:pt>
                <c:pt idx="440">
                  <c:v>1805</c:v>
                </c:pt>
                <c:pt idx="441">
                  <c:v>1805</c:v>
                </c:pt>
                <c:pt idx="442">
                  <c:v>1805</c:v>
                </c:pt>
                <c:pt idx="443">
                  <c:v>1805</c:v>
                </c:pt>
                <c:pt idx="444">
                  <c:v>1805</c:v>
                </c:pt>
                <c:pt idx="445">
                  <c:v>1805</c:v>
                </c:pt>
                <c:pt idx="446">
                  <c:v>1805</c:v>
                </c:pt>
                <c:pt idx="447">
                  <c:v>1805</c:v>
                </c:pt>
                <c:pt idx="448">
                  <c:v>1805</c:v>
                </c:pt>
                <c:pt idx="449">
                  <c:v>1805</c:v>
                </c:pt>
                <c:pt idx="450">
                  <c:v>1805</c:v>
                </c:pt>
                <c:pt idx="451">
                  <c:v>1805</c:v>
                </c:pt>
                <c:pt idx="452">
                  <c:v>1805</c:v>
                </c:pt>
                <c:pt idx="453">
                  <c:v>1805</c:v>
                </c:pt>
                <c:pt idx="454">
                  <c:v>1805</c:v>
                </c:pt>
                <c:pt idx="455">
                  <c:v>1805</c:v>
                </c:pt>
                <c:pt idx="456">
                  <c:v>1805</c:v>
                </c:pt>
                <c:pt idx="457">
                  <c:v>1805</c:v>
                </c:pt>
                <c:pt idx="458">
                  <c:v>1805</c:v>
                </c:pt>
                <c:pt idx="459">
                  <c:v>1805</c:v>
                </c:pt>
                <c:pt idx="460">
                  <c:v>1805</c:v>
                </c:pt>
                <c:pt idx="461">
                  <c:v>1805</c:v>
                </c:pt>
                <c:pt idx="462">
                  <c:v>1805</c:v>
                </c:pt>
                <c:pt idx="463">
                  <c:v>1805</c:v>
                </c:pt>
                <c:pt idx="464">
                  <c:v>1805</c:v>
                </c:pt>
                <c:pt idx="465">
                  <c:v>1805</c:v>
                </c:pt>
                <c:pt idx="466">
                  <c:v>1805</c:v>
                </c:pt>
                <c:pt idx="467">
                  <c:v>1805</c:v>
                </c:pt>
                <c:pt idx="468">
                  <c:v>1805</c:v>
                </c:pt>
                <c:pt idx="469">
                  <c:v>1800</c:v>
                </c:pt>
                <c:pt idx="470">
                  <c:v>1800</c:v>
                </c:pt>
                <c:pt idx="471">
                  <c:v>1805</c:v>
                </c:pt>
                <c:pt idx="472">
                  <c:v>1800</c:v>
                </c:pt>
                <c:pt idx="473">
                  <c:v>1800</c:v>
                </c:pt>
                <c:pt idx="474">
                  <c:v>1800</c:v>
                </c:pt>
                <c:pt idx="475">
                  <c:v>1800</c:v>
                </c:pt>
                <c:pt idx="476">
                  <c:v>1800</c:v>
                </c:pt>
                <c:pt idx="477">
                  <c:v>1800</c:v>
                </c:pt>
                <c:pt idx="478">
                  <c:v>1805</c:v>
                </c:pt>
                <c:pt idx="479">
                  <c:v>1800</c:v>
                </c:pt>
                <c:pt idx="480">
                  <c:v>1805</c:v>
                </c:pt>
                <c:pt idx="481">
                  <c:v>1805</c:v>
                </c:pt>
                <c:pt idx="482">
                  <c:v>1800</c:v>
                </c:pt>
                <c:pt idx="483">
                  <c:v>1800</c:v>
                </c:pt>
                <c:pt idx="484">
                  <c:v>1800</c:v>
                </c:pt>
                <c:pt idx="485">
                  <c:v>1800</c:v>
                </c:pt>
                <c:pt idx="486">
                  <c:v>1805</c:v>
                </c:pt>
                <c:pt idx="487">
                  <c:v>1800</c:v>
                </c:pt>
                <c:pt idx="488">
                  <c:v>1800</c:v>
                </c:pt>
                <c:pt idx="489">
                  <c:v>1800</c:v>
                </c:pt>
                <c:pt idx="490">
                  <c:v>1800</c:v>
                </c:pt>
                <c:pt idx="491">
                  <c:v>1800</c:v>
                </c:pt>
                <c:pt idx="492">
                  <c:v>1800</c:v>
                </c:pt>
                <c:pt idx="493">
                  <c:v>1800</c:v>
                </c:pt>
                <c:pt idx="494">
                  <c:v>1800</c:v>
                </c:pt>
                <c:pt idx="495">
                  <c:v>1800</c:v>
                </c:pt>
                <c:pt idx="496">
                  <c:v>1800</c:v>
                </c:pt>
                <c:pt idx="497">
                  <c:v>1800</c:v>
                </c:pt>
                <c:pt idx="498">
                  <c:v>1800</c:v>
                </c:pt>
                <c:pt idx="499">
                  <c:v>1805</c:v>
                </c:pt>
                <c:pt idx="500">
                  <c:v>1800</c:v>
                </c:pt>
                <c:pt idx="501">
                  <c:v>1800</c:v>
                </c:pt>
                <c:pt idx="502">
                  <c:v>1800</c:v>
                </c:pt>
                <c:pt idx="503">
                  <c:v>1800</c:v>
                </c:pt>
                <c:pt idx="504">
                  <c:v>1800</c:v>
                </c:pt>
                <c:pt idx="505">
                  <c:v>1800</c:v>
                </c:pt>
                <c:pt idx="506">
                  <c:v>1800</c:v>
                </c:pt>
                <c:pt idx="507">
                  <c:v>1800</c:v>
                </c:pt>
                <c:pt idx="508">
                  <c:v>1800</c:v>
                </c:pt>
                <c:pt idx="509">
                  <c:v>1800</c:v>
                </c:pt>
                <c:pt idx="510">
                  <c:v>1805</c:v>
                </c:pt>
                <c:pt idx="511">
                  <c:v>1805</c:v>
                </c:pt>
                <c:pt idx="512">
                  <c:v>1805</c:v>
                </c:pt>
                <c:pt idx="513">
                  <c:v>1800</c:v>
                </c:pt>
                <c:pt idx="514">
                  <c:v>1805</c:v>
                </c:pt>
                <c:pt idx="515">
                  <c:v>1805</c:v>
                </c:pt>
                <c:pt idx="516">
                  <c:v>1800</c:v>
                </c:pt>
                <c:pt idx="517">
                  <c:v>1800</c:v>
                </c:pt>
                <c:pt idx="518">
                  <c:v>1800</c:v>
                </c:pt>
                <c:pt idx="519">
                  <c:v>1800</c:v>
                </c:pt>
                <c:pt idx="520">
                  <c:v>1800</c:v>
                </c:pt>
                <c:pt idx="521">
                  <c:v>1800</c:v>
                </c:pt>
                <c:pt idx="522">
                  <c:v>1800</c:v>
                </c:pt>
                <c:pt idx="523">
                  <c:v>1800</c:v>
                </c:pt>
                <c:pt idx="524">
                  <c:v>1800</c:v>
                </c:pt>
                <c:pt idx="525">
                  <c:v>1800</c:v>
                </c:pt>
                <c:pt idx="526">
                  <c:v>1800</c:v>
                </c:pt>
                <c:pt idx="527">
                  <c:v>1800</c:v>
                </c:pt>
                <c:pt idx="528">
                  <c:v>1800</c:v>
                </c:pt>
                <c:pt idx="529">
                  <c:v>1800</c:v>
                </c:pt>
                <c:pt idx="530">
                  <c:v>1800</c:v>
                </c:pt>
                <c:pt idx="531">
                  <c:v>1800</c:v>
                </c:pt>
                <c:pt idx="532">
                  <c:v>1800</c:v>
                </c:pt>
                <c:pt idx="533">
                  <c:v>1800</c:v>
                </c:pt>
                <c:pt idx="534">
                  <c:v>1800</c:v>
                </c:pt>
                <c:pt idx="535">
                  <c:v>1800</c:v>
                </c:pt>
                <c:pt idx="536">
                  <c:v>1800</c:v>
                </c:pt>
                <c:pt idx="537">
                  <c:v>1800</c:v>
                </c:pt>
                <c:pt idx="538">
                  <c:v>1805</c:v>
                </c:pt>
                <c:pt idx="539">
                  <c:v>1805</c:v>
                </c:pt>
                <c:pt idx="540">
                  <c:v>1805</c:v>
                </c:pt>
                <c:pt idx="541">
                  <c:v>1800</c:v>
                </c:pt>
                <c:pt idx="542">
                  <c:v>1800</c:v>
                </c:pt>
                <c:pt idx="543">
                  <c:v>1800</c:v>
                </c:pt>
                <c:pt idx="544">
                  <c:v>1800</c:v>
                </c:pt>
                <c:pt idx="545">
                  <c:v>1805</c:v>
                </c:pt>
                <c:pt idx="546">
                  <c:v>1800</c:v>
                </c:pt>
                <c:pt idx="547">
                  <c:v>1800</c:v>
                </c:pt>
                <c:pt idx="548">
                  <c:v>1800</c:v>
                </c:pt>
                <c:pt idx="549">
                  <c:v>1800</c:v>
                </c:pt>
                <c:pt idx="550">
                  <c:v>1800</c:v>
                </c:pt>
                <c:pt idx="551">
                  <c:v>1800</c:v>
                </c:pt>
                <c:pt idx="552">
                  <c:v>1800</c:v>
                </c:pt>
                <c:pt idx="553">
                  <c:v>1800</c:v>
                </c:pt>
                <c:pt idx="554">
                  <c:v>1800</c:v>
                </c:pt>
                <c:pt idx="555">
                  <c:v>1800</c:v>
                </c:pt>
                <c:pt idx="556">
                  <c:v>1805</c:v>
                </c:pt>
                <c:pt idx="557">
                  <c:v>1800</c:v>
                </c:pt>
                <c:pt idx="558">
                  <c:v>1800</c:v>
                </c:pt>
                <c:pt idx="559">
                  <c:v>1800</c:v>
                </c:pt>
                <c:pt idx="560">
                  <c:v>1800</c:v>
                </c:pt>
                <c:pt idx="561">
                  <c:v>1800</c:v>
                </c:pt>
                <c:pt idx="562">
                  <c:v>1800</c:v>
                </c:pt>
                <c:pt idx="563">
                  <c:v>1805</c:v>
                </c:pt>
                <c:pt idx="564">
                  <c:v>1800</c:v>
                </c:pt>
                <c:pt idx="565">
                  <c:v>1800</c:v>
                </c:pt>
                <c:pt idx="566">
                  <c:v>1800</c:v>
                </c:pt>
                <c:pt idx="567">
                  <c:v>1800</c:v>
                </c:pt>
                <c:pt idx="568">
                  <c:v>1800</c:v>
                </c:pt>
                <c:pt idx="569">
                  <c:v>1800</c:v>
                </c:pt>
                <c:pt idx="570">
                  <c:v>1800</c:v>
                </c:pt>
                <c:pt idx="571">
                  <c:v>1800</c:v>
                </c:pt>
                <c:pt idx="572">
                  <c:v>1800</c:v>
                </c:pt>
                <c:pt idx="573">
                  <c:v>1800</c:v>
                </c:pt>
                <c:pt idx="574">
                  <c:v>1800</c:v>
                </c:pt>
                <c:pt idx="575">
                  <c:v>1800</c:v>
                </c:pt>
                <c:pt idx="576">
                  <c:v>1800</c:v>
                </c:pt>
                <c:pt idx="577">
                  <c:v>1805</c:v>
                </c:pt>
                <c:pt idx="578">
                  <c:v>1800</c:v>
                </c:pt>
                <c:pt idx="579">
                  <c:v>1800</c:v>
                </c:pt>
                <c:pt idx="580">
                  <c:v>1800</c:v>
                </c:pt>
                <c:pt idx="581">
                  <c:v>1800</c:v>
                </c:pt>
                <c:pt idx="582">
                  <c:v>1800</c:v>
                </c:pt>
                <c:pt idx="583">
                  <c:v>1800</c:v>
                </c:pt>
                <c:pt idx="584">
                  <c:v>1800</c:v>
                </c:pt>
                <c:pt idx="585">
                  <c:v>1800</c:v>
                </c:pt>
                <c:pt idx="586">
                  <c:v>1800</c:v>
                </c:pt>
                <c:pt idx="587">
                  <c:v>1800</c:v>
                </c:pt>
                <c:pt idx="588">
                  <c:v>1800</c:v>
                </c:pt>
                <c:pt idx="589">
                  <c:v>1800</c:v>
                </c:pt>
                <c:pt idx="590">
                  <c:v>1800</c:v>
                </c:pt>
                <c:pt idx="591">
                  <c:v>1800</c:v>
                </c:pt>
                <c:pt idx="592">
                  <c:v>1805</c:v>
                </c:pt>
                <c:pt idx="593">
                  <c:v>1800</c:v>
                </c:pt>
                <c:pt idx="594">
                  <c:v>1800</c:v>
                </c:pt>
                <c:pt idx="595">
                  <c:v>1800</c:v>
                </c:pt>
                <c:pt idx="596">
                  <c:v>1800</c:v>
                </c:pt>
                <c:pt idx="597">
                  <c:v>1800</c:v>
                </c:pt>
                <c:pt idx="598">
                  <c:v>1800</c:v>
                </c:pt>
                <c:pt idx="599">
                  <c:v>1800</c:v>
                </c:pt>
                <c:pt idx="600">
                  <c:v>1800</c:v>
                </c:pt>
                <c:pt idx="601">
                  <c:v>1800</c:v>
                </c:pt>
                <c:pt idx="602">
                  <c:v>1800</c:v>
                </c:pt>
                <c:pt idx="603">
                  <c:v>1800</c:v>
                </c:pt>
                <c:pt idx="604">
                  <c:v>1800</c:v>
                </c:pt>
                <c:pt idx="605">
                  <c:v>1800</c:v>
                </c:pt>
                <c:pt idx="606">
                  <c:v>1800</c:v>
                </c:pt>
                <c:pt idx="607">
                  <c:v>1800</c:v>
                </c:pt>
                <c:pt idx="608">
                  <c:v>1800</c:v>
                </c:pt>
                <c:pt idx="609">
                  <c:v>1800</c:v>
                </c:pt>
                <c:pt idx="610">
                  <c:v>1800</c:v>
                </c:pt>
                <c:pt idx="611">
                  <c:v>1800</c:v>
                </c:pt>
                <c:pt idx="612">
                  <c:v>1800</c:v>
                </c:pt>
                <c:pt idx="613">
                  <c:v>1800</c:v>
                </c:pt>
                <c:pt idx="614">
                  <c:v>1800</c:v>
                </c:pt>
                <c:pt idx="615">
                  <c:v>1800</c:v>
                </c:pt>
                <c:pt idx="616">
                  <c:v>1800</c:v>
                </c:pt>
                <c:pt idx="617">
                  <c:v>1800</c:v>
                </c:pt>
                <c:pt idx="618">
                  <c:v>1800</c:v>
                </c:pt>
                <c:pt idx="619">
                  <c:v>1800</c:v>
                </c:pt>
                <c:pt idx="620">
                  <c:v>1800</c:v>
                </c:pt>
                <c:pt idx="621">
                  <c:v>1800</c:v>
                </c:pt>
                <c:pt idx="622">
                  <c:v>1800</c:v>
                </c:pt>
                <c:pt idx="623">
                  <c:v>1800</c:v>
                </c:pt>
                <c:pt idx="624">
                  <c:v>1800</c:v>
                </c:pt>
                <c:pt idx="625">
                  <c:v>1800</c:v>
                </c:pt>
                <c:pt idx="626">
                  <c:v>1800</c:v>
                </c:pt>
                <c:pt idx="627">
                  <c:v>1800</c:v>
                </c:pt>
                <c:pt idx="628">
                  <c:v>1795</c:v>
                </c:pt>
                <c:pt idx="629">
                  <c:v>1795</c:v>
                </c:pt>
                <c:pt idx="630">
                  <c:v>1795</c:v>
                </c:pt>
                <c:pt idx="631">
                  <c:v>1795</c:v>
                </c:pt>
                <c:pt idx="632">
                  <c:v>1795</c:v>
                </c:pt>
                <c:pt idx="633">
                  <c:v>1795</c:v>
                </c:pt>
                <c:pt idx="634">
                  <c:v>1795</c:v>
                </c:pt>
                <c:pt idx="635">
                  <c:v>1800</c:v>
                </c:pt>
                <c:pt idx="636">
                  <c:v>1795</c:v>
                </c:pt>
                <c:pt idx="637">
                  <c:v>1795</c:v>
                </c:pt>
                <c:pt idx="638">
                  <c:v>1800</c:v>
                </c:pt>
                <c:pt idx="639">
                  <c:v>1795</c:v>
                </c:pt>
                <c:pt idx="640">
                  <c:v>1795</c:v>
                </c:pt>
                <c:pt idx="641">
                  <c:v>1795</c:v>
                </c:pt>
                <c:pt idx="642">
                  <c:v>1795</c:v>
                </c:pt>
                <c:pt idx="643">
                  <c:v>1795</c:v>
                </c:pt>
                <c:pt idx="644">
                  <c:v>1795</c:v>
                </c:pt>
                <c:pt idx="645">
                  <c:v>1795</c:v>
                </c:pt>
                <c:pt idx="646">
                  <c:v>1795</c:v>
                </c:pt>
                <c:pt idx="647">
                  <c:v>1800</c:v>
                </c:pt>
                <c:pt idx="648">
                  <c:v>1800</c:v>
                </c:pt>
                <c:pt idx="649">
                  <c:v>1795</c:v>
                </c:pt>
                <c:pt idx="650">
                  <c:v>1795</c:v>
                </c:pt>
                <c:pt idx="651">
                  <c:v>1795</c:v>
                </c:pt>
                <c:pt idx="652">
                  <c:v>1795</c:v>
                </c:pt>
                <c:pt idx="653">
                  <c:v>1795</c:v>
                </c:pt>
                <c:pt idx="654">
                  <c:v>1795</c:v>
                </c:pt>
                <c:pt idx="655">
                  <c:v>1795</c:v>
                </c:pt>
                <c:pt idx="656">
                  <c:v>1795</c:v>
                </c:pt>
                <c:pt idx="657">
                  <c:v>1800</c:v>
                </c:pt>
                <c:pt idx="658">
                  <c:v>1795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93-4136-9AE8-7A047EE24594}"/>
            </c:ext>
          </c:extLst>
        </c:ser>
        <c:ser>
          <c:idx val="1"/>
          <c:order val="1"/>
          <c:tx>
            <c:v>1805.2</c:v>
          </c:tx>
          <c:marker>
            <c:symbol val="none"/>
          </c:marker>
          <c:val>
            <c:numRef>
              <c:f>結算估價!$F$668:$F$1328</c:f>
              <c:numCache>
                <c:formatCode>General</c:formatCode>
                <c:ptCount val="661"/>
                <c:pt idx="0">
                  <c:v>1815</c:v>
                </c:pt>
                <c:pt idx="1">
                  <c:v>1812.5</c:v>
                </c:pt>
                <c:pt idx="2">
                  <c:v>1813.3333333333333</c:v>
                </c:pt>
                <c:pt idx="3">
                  <c:v>1812.5</c:v>
                </c:pt>
                <c:pt idx="4">
                  <c:v>1812</c:v>
                </c:pt>
                <c:pt idx="5">
                  <c:v>1811.6666666666667</c:v>
                </c:pt>
                <c:pt idx="6">
                  <c:v>1811.4285714285713</c:v>
                </c:pt>
                <c:pt idx="7">
                  <c:v>1811.25</c:v>
                </c:pt>
                <c:pt idx="8">
                  <c:v>1811.1111111111111</c:v>
                </c:pt>
                <c:pt idx="9">
                  <c:v>1811</c:v>
                </c:pt>
                <c:pt idx="10">
                  <c:v>1811.3636363636363</c:v>
                </c:pt>
                <c:pt idx="11">
                  <c:v>1811.6666666666667</c:v>
                </c:pt>
                <c:pt idx="12">
                  <c:v>1811.9230769230769</c:v>
                </c:pt>
                <c:pt idx="13">
                  <c:v>1811.7857142857142</c:v>
                </c:pt>
                <c:pt idx="14">
                  <c:v>1811.6666666666667</c:v>
                </c:pt>
                <c:pt idx="15">
                  <c:v>1811.5625</c:v>
                </c:pt>
                <c:pt idx="16">
                  <c:v>1811.4705882352941</c:v>
                </c:pt>
                <c:pt idx="17">
                  <c:v>1811.3888888888889</c:v>
                </c:pt>
                <c:pt idx="18">
                  <c:v>1811.578947368421</c:v>
                </c:pt>
                <c:pt idx="19">
                  <c:v>1811.75</c:v>
                </c:pt>
                <c:pt idx="20">
                  <c:v>1811.6666666666667</c:v>
                </c:pt>
                <c:pt idx="21">
                  <c:v>1811.590909090909</c:v>
                </c:pt>
                <c:pt idx="22">
                  <c:v>1811.5217391304348</c:v>
                </c:pt>
                <c:pt idx="23">
                  <c:v>1811.6666666666667</c:v>
                </c:pt>
                <c:pt idx="24">
                  <c:v>1811.8</c:v>
                </c:pt>
                <c:pt idx="25">
                  <c:v>1811.7307692307693</c:v>
                </c:pt>
                <c:pt idx="26">
                  <c:v>1811.6666666666667</c:v>
                </c:pt>
                <c:pt idx="27">
                  <c:v>1811.6071428571429</c:v>
                </c:pt>
                <c:pt idx="28">
                  <c:v>1811.5517241379309</c:v>
                </c:pt>
                <c:pt idx="29">
                  <c:v>1811.5</c:v>
                </c:pt>
                <c:pt idx="30">
                  <c:v>1811.4516129032259</c:v>
                </c:pt>
                <c:pt idx="31">
                  <c:v>1811.40625</c:v>
                </c:pt>
                <c:pt idx="32">
                  <c:v>1811.3636363636363</c:v>
                </c:pt>
                <c:pt idx="33">
                  <c:v>1811.3235294117646</c:v>
                </c:pt>
                <c:pt idx="34">
                  <c:v>1811.4285714285713</c:v>
                </c:pt>
                <c:pt idx="35">
                  <c:v>1811.5277777777778</c:v>
                </c:pt>
                <c:pt idx="36">
                  <c:v>1811.6216216216217</c:v>
                </c:pt>
                <c:pt idx="37">
                  <c:v>1811.7105263157894</c:v>
                </c:pt>
                <c:pt idx="38">
                  <c:v>1811.7948717948718</c:v>
                </c:pt>
                <c:pt idx="39">
                  <c:v>1811.75</c:v>
                </c:pt>
                <c:pt idx="40">
                  <c:v>1811.7073170731708</c:v>
                </c:pt>
                <c:pt idx="41">
                  <c:v>1811.6666666666667</c:v>
                </c:pt>
                <c:pt idx="42">
                  <c:v>1811.6279069767443</c:v>
                </c:pt>
                <c:pt idx="43">
                  <c:v>1811.590909090909</c:v>
                </c:pt>
                <c:pt idx="44">
                  <c:v>1811.5555555555557</c:v>
                </c:pt>
                <c:pt idx="45">
                  <c:v>1811.5217391304348</c:v>
                </c:pt>
                <c:pt idx="46">
                  <c:v>1811.4893617021276</c:v>
                </c:pt>
                <c:pt idx="47">
                  <c:v>1811.4583333333333</c:v>
                </c:pt>
                <c:pt idx="48">
                  <c:v>1811.5306122448981</c:v>
                </c:pt>
                <c:pt idx="49">
                  <c:v>1811.5</c:v>
                </c:pt>
                <c:pt idx="50">
                  <c:v>1811.4705882352941</c:v>
                </c:pt>
                <c:pt idx="51">
                  <c:v>1811.4423076923076</c:v>
                </c:pt>
                <c:pt idx="52">
                  <c:v>1811.5094339622642</c:v>
                </c:pt>
                <c:pt idx="53">
                  <c:v>1811.4814814814815</c:v>
                </c:pt>
                <c:pt idx="54">
                  <c:v>1811.4545454545455</c:v>
                </c:pt>
                <c:pt idx="55">
                  <c:v>1811.4285714285713</c:v>
                </c:pt>
                <c:pt idx="56">
                  <c:v>1811.4035087719299</c:v>
                </c:pt>
                <c:pt idx="57">
                  <c:v>1811.3793103448277</c:v>
                </c:pt>
                <c:pt idx="58">
                  <c:v>1811.3559322033898</c:v>
                </c:pt>
                <c:pt idx="59">
                  <c:v>1811.3333333333333</c:v>
                </c:pt>
                <c:pt idx="60">
                  <c:v>1811.3934426229507</c:v>
                </c:pt>
                <c:pt idx="61">
                  <c:v>1811.3709677419354</c:v>
                </c:pt>
                <c:pt idx="62">
                  <c:v>1811.3492063492063</c:v>
                </c:pt>
                <c:pt idx="63">
                  <c:v>1811.328125</c:v>
                </c:pt>
                <c:pt idx="64">
                  <c:v>1811.3846153846155</c:v>
                </c:pt>
                <c:pt idx="65">
                  <c:v>1811.3636363636363</c:v>
                </c:pt>
                <c:pt idx="66">
                  <c:v>1811.3432835820895</c:v>
                </c:pt>
                <c:pt idx="67">
                  <c:v>1811.3235294117646</c:v>
                </c:pt>
                <c:pt idx="68">
                  <c:v>1811.304347826087</c:v>
                </c:pt>
                <c:pt idx="69">
                  <c:v>1811.2857142857142</c:v>
                </c:pt>
                <c:pt idx="70">
                  <c:v>1811.2676056338028</c:v>
                </c:pt>
                <c:pt idx="71">
                  <c:v>1811.25</c:v>
                </c:pt>
                <c:pt idx="72">
                  <c:v>1811.3013698630136</c:v>
                </c:pt>
                <c:pt idx="73">
                  <c:v>1811.2837837837837</c:v>
                </c:pt>
                <c:pt idx="74">
                  <c:v>1811.2666666666667</c:v>
                </c:pt>
                <c:pt idx="75">
                  <c:v>1811.25</c:v>
                </c:pt>
                <c:pt idx="76">
                  <c:v>1811.2337662337663</c:v>
                </c:pt>
                <c:pt idx="77">
                  <c:v>1811.2179487179487</c:v>
                </c:pt>
                <c:pt idx="78">
                  <c:v>1811.2658227848101</c:v>
                </c:pt>
                <c:pt idx="79">
                  <c:v>1811.3125</c:v>
                </c:pt>
                <c:pt idx="80">
                  <c:v>1811.358024691358</c:v>
                </c:pt>
                <c:pt idx="81">
                  <c:v>1811.3414634146341</c:v>
                </c:pt>
                <c:pt idx="82">
                  <c:v>1811.3253012048192</c:v>
                </c:pt>
                <c:pt idx="83">
                  <c:v>1811.3095238095239</c:v>
                </c:pt>
                <c:pt idx="84">
                  <c:v>1811.2941176470588</c:v>
                </c:pt>
                <c:pt idx="85">
                  <c:v>1811.2790697674418</c:v>
                </c:pt>
                <c:pt idx="86">
                  <c:v>1811.2643678160919</c:v>
                </c:pt>
                <c:pt idx="87">
                  <c:v>1811.25</c:v>
                </c:pt>
                <c:pt idx="88">
                  <c:v>1811.2921348314608</c:v>
                </c:pt>
                <c:pt idx="89">
                  <c:v>1811.2777777777778</c:v>
                </c:pt>
                <c:pt idx="90">
                  <c:v>1811.2637362637363</c:v>
                </c:pt>
                <c:pt idx="91">
                  <c:v>1811.25</c:v>
                </c:pt>
                <c:pt idx="92">
                  <c:v>1811.236559139785</c:v>
                </c:pt>
                <c:pt idx="93">
                  <c:v>1811.2234042553191</c:v>
                </c:pt>
                <c:pt idx="94">
                  <c:v>1811.2631578947369</c:v>
                </c:pt>
                <c:pt idx="95">
                  <c:v>1811.25</c:v>
                </c:pt>
                <c:pt idx="96">
                  <c:v>1811.2886597938145</c:v>
                </c:pt>
                <c:pt idx="97">
                  <c:v>1811.2755102040817</c:v>
                </c:pt>
                <c:pt idx="98">
                  <c:v>1811.3131313131314</c:v>
                </c:pt>
                <c:pt idx="99">
                  <c:v>1811.3</c:v>
                </c:pt>
                <c:pt idx="100">
                  <c:v>1811.2871287128712</c:v>
                </c:pt>
                <c:pt idx="101">
                  <c:v>1811.2745098039215</c:v>
                </c:pt>
                <c:pt idx="102">
                  <c:v>1811.2621359223301</c:v>
                </c:pt>
                <c:pt idx="103">
                  <c:v>1811.25</c:v>
                </c:pt>
                <c:pt idx="104">
                  <c:v>1811.1904761904761</c:v>
                </c:pt>
                <c:pt idx="105">
                  <c:v>1811.132075471698</c:v>
                </c:pt>
                <c:pt idx="106">
                  <c:v>1811.0747663551401</c:v>
                </c:pt>
                <c:pt idx="107">
                  <c:v>1811.0185185185185</c:v>
                </c:pt>
                <c:pt idx="108">
                  <c:v>1810.9633027522937</c:v>
                </c:pt>
                <c:pt idx="109">
                  <c:v>1810.909090909091</c:v>
                </c:pt>
                <c:pt idx="110">
                  <c:v>1810.900900900901</c:v>
                </c:pt>
                <c:pt idx="111">
                  <c:v>1810.8928571428571</c:v>
                </c:pt>
                <c:pt idx="112">
                  <c:v>1810.8407079646017</c:v>
                </c:pt>
                <c:pt idx="113">
                  <c:v>1810.7894736842106</c:v>
                </c:pt>
                <c:pt idx="114">
                  <c:v>1810.7391304347825</c:v>
                </c:pt>
                <c:pt idx="115">
                  <c:v>1810.6896551724137</c:v>
                </c:pt>
                <c:pt idx="116">
                  <c:v>1810.6837606837607</c:v>
                </c:pt>
                <c:pt idx="117">
                  <c:v>1810.6355932203389</c:v>
                </c:pt>
                <c:pt idx="118">
                  <c:v>1810.6302521008404</c:v>
                </c:pt>
                <c:pt idx="119">
                  <c:v>1810.625</c:v>
                </c:pt>
                <c:pt idx="120">
                  <c:v>1810.6198347107438</c:v>
                </c:pt>
                <c:pt idx="121">
                  <c:v>1810.5737704918033</c:v>
                </c:pt>
                <c:pt idx="122">
                  <c:v>1810.5691056910568</c:v>
                </c:pt>
                <c:pt idx="123">
                  <c:v>1810.5241935483871</c:v>
                </c:pt>
                <c:pt idx="124">
                  <c:v>1810.48</c:v>
                </c:pt>
                <c:pt idx="125">
                  <c:v>1810.436507936508</c:v>
                </c:pt>
                <c:pt idx="126">
                  <c:v>1810.4330708661416</c:v>
                </c:pt>
                <c:pt idx="127">
                  <c:v>1810.4296875</c:v>
                </c:pt>
                <c:pt idx="128">
                  <c:v>1810.4263565891472</c:v>
                </c:pt>
                <c:pt idx="129">
                  <c:v>1810.3846153846155</c:v>
                </c:pt>
                <c:pt idx="130">
                  <c:v>1810.3435114503816</c:v>
                </c:pt>
                <c:pt idx="131">
                  <c:v>1810.3030303030303</c:v>
                </c:pt>
                <c:pt idx="132">
                  <c:v>1810.2631578947369</c:v>
                </c:pt>
                <c:pt idx="133">
                  <c:v>1810.2238805970148</c:v>
                </c:pt>
                <c:pt idx="134">
                  <c:v>1810.1851851851852</c:v>
                </c:pt>
                <c:pt idx="135">
                  <c:v>1810.1838235294117</c:v>
                </c:pt>
                <c:pt idx="136">
                  <c:v>1810.1459854014599</c:v>
                </c:pt>
                <c:pt idx="137">
                  <c:v>1810.108695652174</c:v>
                </c:pt>
                <c:pt idx="138">
                  <c:v>1810.1079136690648</c:v>
                </c:pt>
                <c:pt idx="139">
                  <c:v>1810.1071428571429</c:v>
                </c:pt>
                <c:pt idx="140">
                  <c:v>1810.1063829787233</c:v>
                </c:pt>
                <c:pt idx="141">
                  <c:v>1810.0704225352113</c:v>
                </c:pt>
                <c:pt idx="142">
                  <c:v>1810.0349650349651</c:v>
                </c:pt>
                <c:pt idx="143">
                  <c:v>1810.0347222222222</c:v>
                </c:pt>
                <c:pt idx="144">
                  <c:v>1810.0344827586207</c:v>
                </c:pt>
                <c:pt idx="145">
                  <c:v>1810</c:v>
                </c:pt>
                <c:pt idx="146">
                  <c:v>1809.9659863945578</c:v>
                </c:pt>
                <c:pt idx="147">
                  <c:v>1809.9324324324325</c:v>
                </c:pt>
                <c:pt idx="148">
                  <c:v>1809.9328859060402</c:v>
                </c:pt>
                <c:pt idx="149">
                  <c:v>1809.9</c:v>
                </c:pt>
                <c:pt idx="150">
                  <c:v>1809.9006622516556</c:v>
                </c:pt>
                <c:pt idx="151">
                  <c:v>1809.9013157894738</c:v>
                </c:pt>
                <c:pt idx="152">
                  <c:v>1809.8692810457517</c:v>
                </c:pt>
                <c:pt idx="153">
                  <c:v>1809.8376623376623</c:v>
                </c:pt>
                <c:pt idx="154">
                  <c:v>1809.8064516129032</c:v>
                </c:pt>
                <c:pt idx="155">
                  <c:v>1809.7756410256411</c:v>
                </c:pt>
                <c:pt idx="156">
                  <c:v>1809.7452229299363</c:v>
                </c:pt>
                <c:pt idx="157">
                  <c:v>1809.7151898734178</c:v>
                </c:pt>
                <c:pt idx="158">
                  <c:v>1809.7169811320755</c:v>
                </c:pt>
                <c:pt idx="159">
                  <c:v>1809.71875</c:v>
                </c:pt>
                <c:pt idx="160">
                  <c:v>1809.72049689441</c:v>
                </c:pt>
                <c:pt idx="161">
                  <c:v>1809.6913580246915</c:v>
                </c:pt>
                <c:pt idx="162">
                  <c:v>1809.6625766871166</c:v>
                </c:pt>
                <c:pt idx="163">
                  <c:v>1809.6646341463415</c:v>
                </c:pt>
                <c:pt idx="164">
                  <c:v>1809.6363636363637</c:v>
                </c:pt>
                <c:pt idx="165">
                  <c:v>1809.6084337349398</c:v>
                </c:pt>
                <c:pt idx="166">
                  <c:v>1809.5808383233532</c:v>
                </c:pt>
                <c:pt idx="167">
                  <c:v>1809.5535714285713</c:v>
                </c:pt>
                <c:pt idx="168">
                  <c:v>1809.5266272189349</c:v>
                </c:pt>
                <c:pt idx="169">
                  <c:v>1809.5</c:v>
                </c:pt>
                <c:pt idx="170">
                  <c:v>1809.4736842105262</c:v>
                </c:pt>
                <c:pt idx="171">
                  <c:v>1809.4476744186047</c:v>
                </c:pt>
                <c:pt idx="172">
                  <c:v>1809.4508670520231</c:v>
                </c:pt>
                <c:pt idx="173">
                  <c:v>1809.4252873563219</c:v>
                </c:pt>
                <c:pt idx="174">
                  <c:v>1809.4285714285713</c:v>
                </c:pt>
                <c:pt idx="175">
                  <c:v>1809.4318181818182</c:v>
                </c:pt>
                <c:pt idx="176">
                  <c:v>1809.406779661017</c:v>
                </c:pt>
                <c:pt idx="177">
                  <c:v>1809.3820224719102</c:v>
                </c:pt>
                <c:pt idx="178">
                  <c:v>1809.3575418994412</c:v>
                </c:pt>
                <c:pt idx="179">
                  <c:v>1809.3333333333333</c:v>
                </c:pt>
                <c:pt idx="180">
                  <c:v>1809.3093922651933</c:v>
                </c:pt>
                <c:pt idx="181">
                  <c:v>1809.2857142857142</c:v>
                </c:pt>
                <c:pt idx="182">
                  <c:v>1809.2622950819673</c:v>
                </c:pt>
                <c:pt idx="183">
                  <c:v>1809.2391304347825</c:v>
                </c:pt>
                <c:pt idx="184">
                  <c:v>1809.2432432432433</c:v>
                </c:pt>
                <c:pt idx="185">
                  <c:v>1809.2204301075269</c:v>
                </c:pt>
                <c:pt idx="186">
                  <c:v>1809.1978609625669</c:v>
                </c:pt>
                <c:pt idx="187">
                  <c:v>1809.2021276595744</c:v>
                </c:pt>
                <c:pt idx="188">
                  <c:v>1809.2063492063492</c:v>
                </c:pt>
                <c:pt idx="189">
                  <c:v>1809.1842105263158</c:v>
                </c:pt>
                <c:pt idx="190">
                  <c:v>1809.1884816753927</c:v>
                </c:pt>
                <c:pt idx="191">
                  <c:v>1809.1666666666667</c:v>
                </c:pt>
                <c:pt idx="192">
                  <c:v>1809.1709844559587</c:v>
                </c:pt>
                <c:pt idx="193">
                  <c:v>1809.1494845360826</c:v>
                </c:pt>
                <c:pt idx="194">
                  <c:v>1809.1282051282051</c:v>
                </c:pt>
                <c:pt idx="195">
                  <c:v>1809.1071428571429</c:v>
                </c:pt>
                <c:pt idx="196">
                  <c:v>1809.0862944162436</c:v>
                </c:pt>
                <c:pt idx="197">
                  <c:v>1809.0656565656566</c:v>
                </c:pt>
                <c:pt idx="198">
                  <c:v>1809.070351758794</c:v>
                </c:pt>
                <c:pt idx="199">
                  <c:v>1809.075</c:v>
                </c:pt>
                <c:pt idx="200">
                  <c:v>1809.0796019900497</c:v>
                </c:pt>
                <c:pt idx="201">
                  <c:v>1809.0594059405942</c:v>
                </c:pt>
                <c:pt idx="202">
                  <c:v>1809.039408866995</c:v>
                </c:pt>
                <c:pt idx="203">
                  <c:v>1809.0196078431372</c:v>
                </c:pt>
                <c:pt idx="204">
                  <c:v>1809.0243902439024</c:v>
                </c:pt>
                <c:pt idx="205">
                  <c:v>1809.004854368932</c:v>
                </c:pt>
                <c:pt idx="206">
                  <c:v>1808.9855072463768</c:v>
                </c:pt>
                <c:pt idx="207">
                  <c:v>1808.9903846153845</c:v>
                </c:pt>
                <c:pt idx="208">
                  <c:v>1808.9952153110048</c:v>
                </c:pt>
                <c:pt idx="209">
                  <c:v>1808.9761904761904</c:v>
                </c:pt>
                <c:pt idx="210">
                  <c:v>1808.9573459715639</c:v>
                </c:pt>
                <c:pt idx="211">
                  <c:v>1808.9386792452831</c:v>
                </c:pt>
                <c:pt idx="212">
                  <c:v>1808.9201877934272</c:v>
                </c:pt>
                <c:pt idx="213">
                  <c:v>1808.9018691588785</c:v>
                </c:pt>
                <c:pt idx="214">
                  <c:v>1808.8837209302326</c:v>
                </c:pt>
                <c:pt idx="215">
                  <c:v>1808.8657407407406</c:v>
                </c:pt>
                <c:pt idx="216">
                  <c:v>1808.8479262672811</c:v>
                </c:pt>
                <c:pt idx="217">
                  <c:v>1808.8302752293578</c:v>
                </c:pt>
                <c:pt idx="218">
                  <c:v>1808.8356164383561</c:v>
                </c:pt>
                <c:pt idx="219">
                  <c:v>1808.840909090909</c:v>
                </c:pt>
                <c:pt idx="220">
                  <c:v>1808.8461538461538</c:v>
                </c:pt>
                <c:pt idx="221">
                  <c:v>1808.8288288288288</c:v>
                </c:pt>
                <c:pt idx="222">
                  <c:v>1808.8340807174889</c:v>
                </c:pt>
                <c:pt idx="223">
                  <c:v>1808.8169642857142</c:v>
                </c:pt>
                <c:pt idx="224">
                  <c:v>1808.8</c:v>
                </c:pt>
                <c:pt idx="225">
                  <c:v>1808.783185840708</c:v>
                </c:pt>
                <c:pt idx="226">
                  <c:v>1808.7665198237885</c:v>
                </c:pt>
                <c:pt idx="227">
                  <c:v>1808.75</c:v>
                </c:pt>
                <c:pt idx="228">
                  <c:v>1808.7336244541484</c:v>
                </c:pt>
                <c:pt idx="229">
                  <c:v>1808.7173913043478</c:v>
                </c:pt>
                <c:pt idx="230">
                  <c:v>1808.7012987012988</c:v>
                </c:pt>
                <c:pt idx="231">
                  <c:v>1808.6853448275863</c:v>
                </c:pt>
                <c:pt idx="232">
                  <c:v>1808.6909871244636</c:v>
                </c:pt>
                <c:pt idx="233">
                  <c:v>1808.6752136752136</c:v>
                </c:pt>
                <c:pt idx="234">
                  <c:v>1808.6808510638298</c:v>
                </c:pt>
                <c:pt idx="235">
                  <c:v>1808.6864406779662</c:v>
                </c:pt>
                <c:pt idx="236">
                  <c:v>1808.6919831223629</c:v>
                </c:pt>
                <c:pt idx="237">
                  <c:v>1808.6764705882354</c:v>
                </c:pt>
                <c:pt idx="238">
                  <c:v>1808.6610878661088</c:v>
                </c:pt>
                <c:pt idx="239">
                  <c:v>1808.6458333333333</c:v>
                </c:pt>
                <c:pt idx="240">
                  <c:v>1808.630705394191</c:v>
                </c:pt>
                <c:pt idx="241">
                  <c:v>1808.6157024793388</c:v>
                </c:pt>
                <c:pt idx="242">
                  <c:v>1808.6008230452676</c:v>
                </c:pt>
                <c:pt idx="243">
                  <c:v>1808.5860655737704</c:v>
                </c:pt>
                <c:pt idx="244">
                  <c:v>1808.591836734694</c:v>
                </c:pt>
                <c:pt idx="245">
                  <c:v>1808.5772357723577</c:v>
                </c:pt>
                <c:pt idx="246">
                  <c:v>1808.5627530364372</c:v>
                </c:pt>
                <c:pt idx="247">
                  <c:v>1808.5483870967741</c:v>
                </c:pt>
                <c:pt idx="248">
                  <c:v>1808.5542168674699</c:v>
                </c:pt>
                <c:pt idx="249">
                  <c:v>1808.54</c:v>
                </c:pt>
                <c:pt idx="250">
                  <c:v>1808.5458167330678</c:v>
                </c:pt>
                <c:pt idx="251">
                  <c:v>1808.5515873015872</c:v>
                </c:pt>
                <c:pt idx="252">
                  <c:v>1808.5573122529645</c:v>
                </c:pt>
                <c:pt idx="253">
                  <c:v>1808.5433070866143</c:v>
                </c:pt>
                <c:pt idx="254">
                  <c:v>1808.5294117647059</c:v>
                </c:pt>
                <c:pt idx="255">
                  <c:v>1808.515625</c:v>
                </c:pt>
                <c:pt idx="256">
                  <c:v>1808.5019455252918</c:v>
                </c:pt>
                <c:pt idx="257">
                  <c:v>1808.4883720930231</c:v>
                </c:pt>
                <c:pt idx="258">
                  <c:v>1808.4942084942086</c:v>
                </c:pt>
                <c:pt idx="259">
                  <c:v>1808.5</c:v>
                </c:pt>
                <c:pt idx="260">
                  <c:v>1808.5057471264367</c:v>
                </c:pt>
                <c:pt idx="261">
                  <c:v>1808.5114503816794</c:v>
                </c:pt>
                <c:pt idx="262">
                  <c:v>1808.5171102661598</c:v>
                </c:pt>
                <c:pt idx="263">
                  <c:v>1808.5227272727273</c:v>
                </c:pt>
                <c:pt idx="264">
                  <c:v>1808.5283018867924</c:v>
                </c:pt>
                <c:pt idx="265">
                  <c:v>1808.515037593985</c:v>
                </c:pt>
                <c:pt idx="266">
                  <c:v>1808.5018726591761</c:v>
                </c:pt>
                <c:pt idx="267">
                  <c:v>1808.5074626865671</c:v>
                </c:pt>
                <c:pt idx="268">
                  <c:v>1808.5130111524163</c:v>
                </c:pt>
                <c:pt idx="269">
                  <c:v>1808.5</c:v>
                </c:pt>
                <c:pt idx="270">
                  <c:v>1808.4870848708488</c:v>
                </c:pt>
                <c:pt idx="271">
                  <c:v>1808.4742647058824</c:v>
                </c:pt>
                <c:pt idx="272">
                  <c:v>1808.4798534798535</c:v>
                </c:pt>
                <c:pt idx="273">
                  <c:v>1808.4671532846714</c:v>
                </c:pt>
                <c:pt idx="274">
                  <c:v>1808.4727272727273</c:v>
                </c:pt>
                <c:pt idx="275">
                  <c:v>1808.4782608695652</c:v>
                </c:pt>
                <c:pt idx="276">
                  <c:v>1808.4657039711192</c:v>
                </c:pt>
                <c:pt idx="277">
                  <c:v>1808.453237410072</c:v>
                </c:pt>
                <c:pt idx="278">
                  <c:v>1808.4408602150538</c:v>
                </c:pt>
                <c:pt idx="279">
                  <c:v>1808.4464285714287</c:v>
                </c:pt>
                <c:pt idx="280">
                  <c:v>1808.4519572953736</c:v>
                </c:pt>
                <c:pt idx="281">
                  <c:v>1808.4397163120568</c:v>
                </c:pt>
                <c:pt idx="282">
                  <c:v>1808.4452296819788</c:v>
                </c:pt>
                <c:pt idx="283">
                  <c:v>1808.4507042253522</c:v>
                </c:pt>
                <c:pt idx="284">
                  <c:v>1808.4385964912281</c:v>
                </c:pt>
                <c:pt idx="285">
                  <c:v>1808.4265734265734</c:v>
                </c:pt>
                <c:pt idx="286">
                  <c:v>1808.4146341463415</c:v>
                </c:pt>
                <c:pt idx="287">
                  <c:v>1808.4027777777778</c:v>
                </c:pt>
                <c:pt idx="288">
                  <c:v>1808.3910034602077</c:v>
                </c:pt>
                <c:pt idx="289">
                  <c:v>1808.3793103448277</c:v>
                </c:pt>
                <c:pt idx="290">
                  <c:v>1808.3676975945018</c:v>
                </c:pt>
                <c:pt idx="291">
                  <c:v>1808.3732876712329</c:v>
                </c:pt>
                <c:pt idx="292">
                  <c:v>1808.3617747440273</c:v>
                </c:pt>
                <c:pt idx="293">
                  <c:v>1808.3503401360545</c:v>
                </c:pt>
                <c:pt idx="294">
                  <c:v>1808.3559322033898</c:v>
                </c:pt>
                <c:pt idx="295">
                  <c:v>1808.3445945945946</c:v>
                </c:pt>
                <c:pt idx="296">
                  <c:v>1808.3333333333333</c:v>
                </c:pt>
                <c:pt idx="297">
                  <c:v>1808.3221476510066</c:v>
                </c:pt>
                <c:pt idx="298">
                  <c:v>1808.3277591973244</c:v>
                </c:pt>
                <c:pt idx="299">
                  <c:v>1808.3166666666666</c:v>
                </c:pt>
                <c:pt idx="300">
                  <c:v>1808.3222591362126</c:v>
                </c:pt>
                <c:pt idx="301">
                  <c:v>1808.3112582781457</c:v>
                </c:pt>
                <c:pt idx="302">
                  <c:v>1808.3003300330033</c:v>
                </c:pt>
                <c:pt idx="303">
                  <c:v>1808.3059210526317</c:v>
                </c:pt>
                <c:pt idx="304">
                  <c:v>1808.295081967213</c:v>
                </c:pt>
                <c:pt idx="305">
                  <c:v>1808.2843137254902</c:v>
                </c:pt>
                <c:pt idx="306">
                  <c:v>1808.2736156351791</c:v>
                </c:pt>
                <c:pt idx="307">
                  <c:v>1808.2792207792209</c:v>
                </c:pt>
                <c:pt idx="308">
                  <c:v>1808.284789644013</c:v>
                </c:pt>
                <c:pt idx="309">
                  <c:v>1808.2741935483871</c:v>
                </c:pt>
                <c:pt idx="310">
                  <c:v>1808.2636655948554</c:v>
                </c:pt>
                <c:pt idx="311">
                  <c:v>1808.2532051282051</c:v>
                </c:pt>
                <c:pt idx="312">
                  <c:v>1808.2428115015975</c:v>
                </c:pt>
                <c:pt idx="313">
                  <c:v>1808.2324840764331</c:v>
                </c:pt>
                <c:pt idx="314">
                  <c:v>1808.2380952380952</c:v>
                </c:pt>
                <c:pt idx="315">
                  <c:v>1808.2278481012659</c:v>
                </c:pt>
                <c:pt idx="316">
                  <c:v>1808.2334384858045</c:v>
                </c:pt>
                <c:pt idx="317">
                  <c:v>1808.2232704402516</c:v>
                </c:pt>
                <c:pt idx="318">
                  <c:v>1808.2131661442006</c:v>
                </c:pt>
                <c:pt idx="319">
                  <c:v>1808.21875</c:v>
                </c:pt>
                <c:pt idx="320">
                  <c:v>1808.2087227414331</c:v>
                </c:pt>
                <c:pt idx="321">
                  <c:v>1808.1987577639752</c:v>
                </c:pt>
                <c:pt idx="322">
                  <c:v>1808.2043343653252</c:v>
                </c:pt>
                <c:pt idx="323">
                  <c:v>1808.2098765432099</c:v>
                </c:pt>
                <c:pt idx="324">
                  <c:v>1808.2153846153847</c:v>
                </c:pt>
                <c:pt idx="325">
                  <c:v>1808.2055214723925</c:v>
                </c:pt>
                <c:pt idx="326">
                  <c:v>1808.211009174312</c:v>
                </c:pt>
                <c:pt idx="327">
                  <c:v>1808.2164634146341</c:v>
                </c:pt>
                <c:pt idx="328">
                  <c:v>1808.2218844984802</c:v>
                </c:pt>
                <c:pt idx="329">
                  <c:v>1808.2121212121212</c:v>
                </c:pt>
                <c:pt idx="330">
                  <c:v>1808.2175226586103</c:v>
                </c:pt>
                <c:pt idx="331">
                  <c:v>1808.2078313253012</c:v>
                </c:pt>
                <c:pt idx="332">
                  <c:v>1808.1981981981983</c:v>
                </c:pt>
                <c:pt idx="333">
                  <c:v>1808.188622754491</c:v>
                </c:pt>
                <c:pt idx="334">
                  <c:v>1808.1791044776119</c:v>
                </c:pt>
                <c:pt idx="335">
                  <c:v>1808.1845238095239</c:v>
                </c:pt>
                <c:pt idx="336">
                  <c:v>1808.1899109792284</c:v>
                </c:pt>
                <c:pt idx="337">
                  <c:v>1808.1804733727811</c:v>
                </c:pt>
                <c:pt idx="338">
                  <c:v>1808.1710914454277</c:v>
                </c:pt>
                <c:pt idx="339">
                  <c:v>1808.1617647058824</c:v>
                </c:pt>
                <c:pt idx="340">
                  <c:v>1808.16715542522</c:v>
                </c:pt>
                <c:pt idx="341">
                  <c:v>1808.1578947368421</c:v>
                </c:pt>
                <c:pt idx="342">
                  <c:v>1808.1486880466473</c:v>
                </c:pt>
                <c:pt idx="343">
                  <c:v>1808.1395348837209</c:v>
                </c:pt>
                <c:pt idx="344">
                  <c:v>1808.1304347826087</c:v>
                </c:pt>
                <c:pt idx="345">
                  <c:v>1808.121387283237</c:v>
                </c:pt>
                <c:pt idx="346">
                  <c:v>1808.1268011527377</c:v>
                </c:pt>
                <c:pt idx="347">
                  <c:v>1808.117816091954</c:v>
                </c:pt>
                <c:pt idx="348">
                  <c:v>1808.1232091690545</c:v>
                </c:pt>
                <c:pt idx="349">
                  <c:v>1808.1142857142856</c:v>
                </c:pt>
                <c:pt idx="350">
                  <c:v>1808.1054131054132</c:v>
                </c:pt>
                <c:pt idx="351">
                  <c:v>1808.096590909091</c:v>
                </c:pt>
                <c:pt idx="352">
                  <c:v>1808.0878186968839</c:v>
                </c:pt>
                <c:pt idx="353">
                  <c:v>1808.0790960451977</c:v>
                </c:pt>
                <c:pt idx="354">
                  <c:v>1808.0704225352113</c:v>
                </c:pt>
                <c:pt idx="355">
                  <c:v>1808.0758426966293</c:v>
                </c:pt>
                <c:pt idx="356">
                  <c:v>1808.0672268907563</c:v>
                </c:pt>
                <c:pt idx="357">
                  <c:v>1808.058659217877</c:v>
                </c:pt>
                <c:pt idx="358">
                  <c:v>1808.0640668523677</c:v>
                </c:pt>
                <c:pt idx="359">
                  <c:v>1808.0694444444443</c:v>
                </c:pt>
                <c:pt idx="360">
                  <c:v>1808.060941828255</c:v>
                </c:pt>
                <c:pt idx="361">
                  <c:v>1808.0524861878453</c:v>
                </c:pt>
                <c:pt idx="362">
                  <c:v>1808.0578512396694</c:v>
                </c:pt>
                <c:pt idx="363">
                  <c:v>1808.0494505494505</c:v>
                </c:pt>
                <c:pt idx="364">
                  <c:v>1808.041095890411</c:v>
                </c:pt>
                <c:pt idx="365">
                  <c:v>1808.032786885246</c:v>
                </c:pt>
                <c:pt idx="366">
                  <c:v>1808.024523160763</c:v>
                </c:pt>
                <c:pt idx="367">
                  <c:v>1808.016304347826</c:v>
                </c:pt>
                <c:pt idx="368">
                  <c:v>1808.0081300813008</c:v>
                </c:pt>
                <c:pt idx="369">
                  <c:v>1808</c:v>
                </c:pt>
                <c:pt idx="370">
                  <c:v>1807.9919137466306</c:v>
                </c:pt>
                <c:pt idx="371">
                  <c:v>1807.983870967742</c:v>
                </c:pt>
                <c:pt idx="372">
                  <c:v>1807.975871313673</c:v>
                </c:pt>
                <c:pt idx="373">
                  <c:v>1807.9679144385027</c:v>
                </c:pt>
                <c:pt idx="374">
                  <c:v>1807.96</c:v>
                </c:pt>
                <c:pt idx="375">
                  <c:v>1807.9521276595744</c:v>
                </c:pt>
                <c:pt idx="376">
                  <c:v>1807.9442970822281</c:v>
                </c:pt>
                <c:pt idx="377">
                  <c:v>1807.936507936508</c:v>
                </c:pt>
                <c:pt idx="378">
                  <c:v>1807.9287598944591</c:v>
                </c:pt>
                <c:pt idx="379">
                  <c:v>1807.921052631579</c:v>
                </c:pt>
                <c:pt idx="380">
                  <c:v>1807.9133858267717</c:v>
                </c:pt>
                <c:pt idx="381">
                  <c:v>1807.9057591623036</c:v>
                </c:pt>
                <c:pt idx="382">
                  <c:v>1807.8981723237598</c:v>
                </c:pt>
                <c:pt idx="383">
                  <c:v>1807.890625</c:v>
                </c:pt>
                <c:pt idx="384">
                  <c:v>1807.8961038961038</c:v>
                </c:pt>
                <c:pt idx="385">
                  <c:v>1807.8886010362694</c:v>
                </c:pt>
                <c:pt idx="386">
                  <c:v>1807.8811369509044</c:v>
                </c:pt>
                <c:pt idx="387">
                  <c:v>1807.8737113402062</c:v>
                </c:pt>
                <c:pt idx="388">
                  <c:v>1807.8663239074551</c:v>
                </c:pt>
                <c:pt idx="389">
                  <c:v>1807.8589743589744</c:v>
                </c:pt>
                <c:pt idx="390">
                  <c:v>1807.8516624040922</c:v>
                </c:pt>
                <c:pt idx="391">
                  <c:v>1807.8443877551019</c:v>
                </c:pt>
                <c:pt idx="392">
                  <c:v>1807.8371501272266</c:v>
                </c:pt>
                <c:pt idx="393">
                  <c:v>1807.8299492385786</c:v>
                </c:pt>
                <c:pt idx="394">
                  <c:v>1807.8227848101267</c:v>
                </c:pt>
                <c:pt idx="395">
                  <c:v>1807.8156565656566</c:v>
                </c:pt>
                <c:pt idx="396">
                  <c:v>1807.8211586901764</c:v>
                </c:pt>
                <c:pt idx="397">
                  <c:v>1807.8140703517588</c:v>
                </c:pt>
                <c:pt idx="398">
                  <c:v>1807.8195488721803</c:v>
                </c:pt>
                <c:pt idx="399">
                  <c:v>1807.8125</c:v>
                </c:pt>
                <c:pt idx="400">
                  <c:v>1807.8054862842894</c:v>
                </c:pt>
                <c:pt idx="401">
                  <c:v>1807.7985074626865</c:v>
                </c:pt>
                <c:pt idx="402">
                  <c:v>1807.7915632754343</c:v>
                </c:pt>
                <c:pt idx="403">
                  <c:v>1807.7846534653465</c:v>
                </c:pt>
                <c:pt idx="404">
                  <c:v>1807.7777777777778</c:v>
                </c:pt>
                <c:pt idx="405">
                  <c:v>1807.770935960591</c:v>
                </c:pt>
                <c:pt idx="406">
                  <c:v>1807.7641277641278</c:v>
                </c:pt>
                <c:pt idx="407">
                  <c:v>1807.7573529411766</c:v>
                </c:pt>
                <c:pt idx="408">
                  <c:v>1807.7506112469437</c:v>
                </c:pt>
                <c:pt idx="409">
                  <c:v>1807.7439024390244</c:v>
                </c:pt>
                <c:pt idx="410">
                  <c:v>1807.7372262773722</c:v>
                </c:pt>
                <c:pt idx="411">
                  <c:v>1807.7305825242718</c:v>
                </c:pt>
                <c:pt idx="412">
                  <c:v>1807.7239709443099</c:v>
                </c:pt>
                <c:pt idx="413">
                  <c:v>1807.7173913043478</c:v>
                </c:pt>
                <c:pt idx="414">
                  <c:v>1807.7108433734941</c:v>
                </c:pt>
                <c:pt idx="415">
                  <c:v>1807.7043269230769</c:v>
                </c:pt>
                <c:pt idx="416">
                  <c:v>1807.6978417266187</c:v>
                </c:pt>
                <c:pt idx="417">
                  <c:v>1807.6913875598086</c:v>
                </c:pt>
                <c:pt idx="418">
                  <c:v>1807.6849642004772</c:v>
                </c:pt>
                <c:pt idx="419">
                  <c:v>1807.6785714285713</c:v>
                </c:pt>
                <c:pt idx="420">
                  <c:v>1807.6722090261283</c:v>
                </c:pt>
                <c:pt idx="421">
                  <c:v>1807.6658767772512</c:v>
                </c:pt>
                <c:pt idx="422">
                  <c:v>1807.6595744680851</c:v>
                </c:pt>
                <c:pt idx="423">
                  <c:v>1807.6533018867924</c:v>
                </c:pt>
                <c:pt idx="424">
                  <c:v>1807.6470588235295</c:v>
                </c:pt>
                <c:pt idx="425">
                  <c:v>1807.6408450704225</c:v>
                </c:pt>
                <c:pt idx="426">
                  <c:v>1807.6346604215457</c:v>
                </c:pt>
                <c:pt idx="427">
                  <c:v>1807.6401869158879</c:v>
                </c:pt>
                <c:pt idx="428">
                  <c:v>1807.6340326340326</c:v>
                </c:pt>
                <c:pt idx="429">
                  <c:v>1807.6279069767443</c:v>
                </c:pt>
                <c:pt idx="430">
                  <c:v>1807.6334106728539</c:v>
                </c:pt>
                <c:pt idx="431">
                  <c:v>1807.6273148148148</c:v>
                </c:pt>
                <c:pt idx="432">
                  <c:v>1807.6212471131639</c:v>
                </c:pt>
                <c:pt idx="433">
                  <c:v>1807.6152073732719</c:v>
                </c:pt>
                <c:pt idx="434">
                  <c:v>1807.6091954022988</c:v>
                </c:pt>
                <c:pt idx="435">
                  <c:v>1807.6032110091744</c:v>
                </c:pt>
                <c:pt idx="436">
                  <c:v>1807.5972540045766</c:v>
                </c:pt>
                <c:pt idx="437">
                  <c:v>1807.5913242009133</c:v>
                </c:pt>
                <c:pt idx="438">
                  <c:v>1807.5854214123008</c:v>
                </c:pt>
                <c:pt idx="439">
                  <c:v>1807.5795454545455</c:v>
                </c:pt>
                <c:pt idx="440">
                  <c:v>1807.5736961451248</c:v>
                </c:pt>
                <c:pt idx="441">
                  <c:v>1807.5678733031675</c:v>
                </c:pt>
                <c:pt idx="442">
                  <c:v>1807.5620767494356</c:v>
                </c:pt>
                <c:pt idx="443">
                  <c:v>1807.5563063063064</c:v>
                </c:pt>
                <c:pt idx="444">
                  <c:v>1807.5505617977528</c:v>
                </c:pt>
                <c:pt idx="445">
                  <c:v>1807.5448430493273</c:v>
                </c:pt>
                <c:pt idx="446">
                  <c:v>1807.5391498881431</c:v>
                </c:pt>
                <c:pt idx="447">
                  <c:v>1807.5334821428571</c:v>
                </c:pt>
                <c:pt idx="448">
                  <c:v>1807.5278396436527</c:v>
                </c:pt>
                <c:pt idx="449">
                  <c:v>1807.5222222222221</c:v>
                </c:pt>
                <c:pt idx="450">
                  <c:v>1807.5166297117516</c:v>
                </c:pt>
                <c:pt idx="451">
                  <c:v>1807.5110619469026</c:v>
                </c:pt>
                <c:pt idx="452">
                  <c:v>1807.505518763797</c:v>
                </c:pt>
                <c:pt idx="453">
                  <c:v>1807.5</c:v>
                </c:pt>
                <c:pt idx="454">
                  <c:v>1807.4945054945056</c:v>
                </c:pt>
                <c:pt idx="455">
                  <c:v>1807.4890350877192</c:v>
                </c:pt>
                <c:pt idx="456">
                  <c:v>1807.4835886214441</c:v>
                </c:pt>
                <c:pt idx="457">
                  <c:v>1807.4781659388645</c:v>
                </c:pt>
                <c:pt idx="458">
                  <c:v>1807.4727668845317</c:v>
                </c:pt>
                <c:pt idx="459">
                  <c:v>1807.4673913043478</c:v>
                </c:pt>
                <c:pt idx="460">
                  <c:v>1807.4620390455532</c:v>
                </c:pt>
                <c:pt idx="461">
                  <c:v>1807.45670995671</c:v>
                </c:pt>
                <c:pt idx="462">
                  <c:v>1807.4514038876889</c:v>
                </c:pt>
                <c:pt idx="463">
                  <c:v>1807.4461206896551</c:v>
                </c:pt>
                <c:pt idx="464">
                  <c:v>1807.4408602150538</c:v>
                </c:pt>
                <c:pt idx="465">
                  <c:v>1807.4356223175967</c:v>
                </c:pt>
                <c:pt idx="466">
                  <c:v>1807.4304068522483</c:v>
                </c:pt>
                <c:pt idx="467">
                  <c:v>1807.4252136752136</c:v>
                </c:pt>
                <c:pt idx="468">
                  <c:v>1807.4200426439234</c:v>
                </c:pt>
                <c:pt idx="469">
                  <c:v>1807.4148936170213</c:v>
                </c:pt>
                <c:pt idx="470">
                  <c:v>1807.3991507430999</c:v>
                </c:pt>
                <c:pt idx="471">
                  <c:v>1807.3834745762713</c:v>
                </c:pt>
                <c:pt idx="472">
                  <c:v>1807.3784355179705</c:v>
                </c:pt>
                <c:pt idx="473">
                  <c:v>1807.3628691983122</c:v>
                </c:pt>
                <c:pt idx="474">
                  <c:v>1807.3473684210526</c:v>
                </c:pt>
                <c:pt idx="475">
                  <c:v>1807.3319327731092</c:v>
                </c:pt>
                <c:pt idx="476">
                  <c:v>1807.3165618448638</c:v>
                </c:pt>
                <c:pt idx="477">
                  <c:v>1807.3012552301254</c:v>
                </c:pt>
                <c:pt idx="478">
                  <c:v>1807.2860125260961</c:v>
                </c:pt>
                <c:pt idx="479">
                  <c:v>1807.28125</c:v>
                </c:pt>
                <c:pt idx="480">
                  <c:v>1807.2661122661123</c:v>
                </c:pt>
                <c:pt idx="481">
                  <c:v>1807.2614107883817</c:v>
                </c:pt>
                <c:pt idx="482">
                  <c:v>1807.256728778468</c:v>
                </c:pt>
                <c:pt idx="483">
                  <c:v>1807.2417355371902</c:v>
                </c:pt>
                <c:pt idx="484">
                  <c:v>1807.2268041237114</c:v>
                </c:pt>
                <c:pt idx="485">
                  <c:v>1807.2119341563787</c:v>
                </c:pt>
                <c:pt idx="486">
                  <c:v>1807.1971252566734</c:v>
                </c:pt>
                <c:pt idx="487">
                  <c:v>1807.1926229508197</c:v>
                </c:pt>
                <c:pt idx="488">
                  <c:v>1807.1779141104294</c:v>
                </c:pt>
                <c:pt idx="489">
                  <c:v>1807.1632653061224</c:v>
                </c:pt>
                <c:pt idx="490">
                  <c:v>1807.1486761710794</c:v>
                </c:pt>
                <c:pt idx="491">
                  <c:v>1807.1341463414635</c:v>
                </c:pt>
                <c:pt idx="492">
                  <c:v>1807.1196754563894</c:v>
                </c:pt>
                <c:pt idx="493">
                  <c:v>1807.1052631578948</c:v>
                </c:pt>
                <c:pt idx="494">
                  <c:v>1807.090909090909</c:v>
                </c:pt>
                <c:pt idx="495">
                  <c:v>1807.0766129032259</c:v>
                </c:pt>
                <c:pt idx="496">
                  <c:v>1807.0623742454729</c:v>
                </c:pt>
                <c:pt idx="497">
                  <c:v>1807.0481927710844</c:v>
                </c:pt>
                <c:pt idx="498">
                  <c:v>1807.0340681362725</c:v>
                </c:pt>
                <c:pt idx="499">
                  <c:v>1807.02</c:v>
                </c:pt>
                <c:pt idx="500">
                  <c:v>1807.0159680638722</c:v>
                </c:pt>
                <c:pt idx="501">
                  <c:v>1807.0019920318725</c:v>
                </c:pt>
                <c:pt idx="502">
                  <c:v>1806.9880715705765</c:v>
                </c:pt>
                <c:pt idx="503">
                  <c:v>1806.9742063492063</c:v>
                </c:pt>
                <c:pt idx="504">
                  <c:v>1806.9603960396039</c:v>
                </c:pt>
                <c:pt idx="505">
                  <c:v>1806.9466403162055</c:v>
                </c:pt>
                <c:pt idx="506">
                  <c:v>1806.9329388560159</c:v>
                </c:pt>
                <c:pt idx="507">
                  <c:v>1806.9192913385828</c:v>
                </c:pt>
                <c:pt idx="508">
                  <c:v>1806.9056974459725</c:v>
                </c:pt>
                <c:pt idx="509">
                  <c:v>1806.8921568627452</c:v>
                </c:pt>
                <c:pt idx="510">
                  <c:v>1806.8786692759295</c:v>
                </c:pt>
                <c:pt idx="511">
                  <c:v>1806.875</c:v>
                </c:pt>
                <c:pt idx="512">
                  <c:v>1806.8713450292398</c:v>
                </c:pt>
                <c:pt idx="513">
                  <c:v>1806.8677042801557</c:v>
                </c:pt>
                <c:pt idx="514">
                  <c:v>1806.8543689320388</c:v>
                </c:pt>
                <c:pt idx="515">
                  <c:v>1806.8507751937984</c:v>
                </c:pt>
                <c:pt idx="516">
                  <c:v>1806.8471953578337</c:v>
                </c:pt>
                <c:pt idx="517">
                  <c:v>1806.8339768339767</c:v>
                </c:pt>
                <c:pt idx="518">
                  <c:v>1806.820809248555</c:v>
                </c:pt>
                <c:pt idx="519">
                  <c:v>1806.8076923076924</c:v>
                </c:pt>
                <c:pt idx="520">
                  <c:v>1806.7946257197698</c:v>
                </c:pt>
                <c:pt idx="521">
                  <c:v>1806.7816091954023</c:v>
                </c:pt>
                <c:pt idx="522">
                  <c:v>1806.7686424474186</c:v>
                </c:pt>
                <c:pt idx="523">
                  <c:v>1806.7557251908397</c:v>
                </c:pt>
                <c:pt idx="524">
                  <c:v>1806.7428571428572</c:v>
                </c:pt>
                <c:pt idx="525">
                  <c:v>1806.7300380228137</c:v>
                </c:pt>
                <c:pt idx="526">
                  <c:v>1806.7172675521822</c:v>
                </c:pt>
                <c:pt idx="527">
                  <c:v>1806.7045454545455</c:v>
                </c:pt>
                <c:pt idx="528">
                  <c:v>1806.6918714555766</c:v>
                </c:pt>
                <c:pt idx="529">
                  <c:v>1806.6792452830189</c:v>
                </c:pt>
                <c:pt idx="530">
                  <c:v>1806.6666666666667</c:v>
                </c:pt>
                <c:pt idx="531">
                  <c:v>1806.6541353383459</c:v>
                </c:pt>
                <c:pt idx="532">
                  <c:v>1806.641651031895</c:v>
                </c:pt>
                <c:pt idx="533">
                  <c:v>1806.629213483146</c:v>
                </c:pt>
                <c:pt idx="534">
                  <c:v>1806.6168224299065</c:v>
                </c:pt>
                <c:pt idx="535">
                  <c:v>1806.6044776119404</c:v>
                </c:pt>
                <c:pt idx="536">
                  <c:v>1806.5921787709497</c:v>
                </c:pt>
                <c:pt idx="537">
                  <c:v>1806.5799256505577</c:v>
                </c:pt>
                <c:pt idx="538">
                  <c:v>1806.5677179962895</c:v>
                </c:pt>
                <c:pt idx="539">
                  <c:v>1806.5648148148148</c:v>
                </c:pt>
                <c:pt idx="540">
                  <c:v>1806.5619223659889</c:v>
                </c:pt>
                <c:pt idx="541">
                  <c:v>1806.5590405904059</c:v>
                </c:pt>
                <c:pt idx="542">
                  <c:v>1806.5469613259668</c:v>
                </c:pt>
                <c:pt idx="543">
                  <c:v>1806.5349264705883</c:v>
                </c:pt>
                <c:pt idx="544">
                  <c:v>1806.5229357798164</c:v>
                </c:pt>
                <c:pt idx="545">
                  <c:v>1806.5109890109891</c:v>
                </c:pt>
                <c:pt idx="546">
                  <c:v>1806.508226691042</c:v>
                </c:pt>
                <c:pt idx="547">
                  <c:v>1806.4963503649635</c:v>
                </c:pt>
                <c:pt idx="548">
                  <c:v>1806.4845173041895</c:v>
                </c:pt>
                <c:pt idx="549">
                  <c:v>1806.4727272727273</c:v>
                </c:pt>
                <c:pt idx="550">
                  <c:v>1806.4609800362975</c:v>
                </c:pt>
                <c:pt idx="551">
                  <c:v>1806.4492753623188</c:v>
                </c:pt>
                <c:pt idx="552">
                  <c:v>1806.4376130198916</c:v>
                </c:pt>
                <c:pt idx="553">
                  <c:v>1806.4259927797834</c:v>
                </c:pt>
                <c:pt idx="554">
                  <c:v>1806.4144144144145</c:v>
                </c:pt>
                <c:pt idx="555">
                  <c:v>1806.4028776978416</c:v>
                </c:pt>
                <c:pt idx="556">
                  <c:v>1806.3913824057452</c:v>
                </c:pt>
                <c:pt idx="557">
                  <c:v>1806.3888888888889</c:v>
                </c:pt>
                <c:pt idx="558">
                  <c:v>1806.3774597495528</c:v>
                </c:pt>
                <c:pt idx="559">
                  <c:v>1806.3660714285713</c:v>
                </c:pt>
                <c:pt idx="560">
                  <c:v>1806.3547237076648</c:v>
                </c:pt>
                <c:pt idx="561">
                  <c:v>1806.3434163701068</c:v>
                </c:pt>
                <c:pt idx="562">
                  <c:v>1806.3321492007105</c:v>
                </c:pt>
                <c:pt idx="563">
                  <c:v>1806.3209219858156</c:v>
                </c:pt>
                <c:pt idx="564">
                  <c:v>1806.3185840707965</c:v>
                </c:pt>
                <c:pt idx="565">
                  <c:v>1806.3074204946997</c:v>
                </c:pt>
                <c:pt idx="566">
                  <c:v>1806.2962962962963</c:v>
                </c:pt>
                <c:pt idx="567">
                  <c:v>1806.2852112676057</c:v>
                </c:pt>
                <c:pt idx="568">
                  <c:v>1806.2741652021089</c:v>
                </c:pt>
                <c:pt idx="569">
                  <c:v>1806.2631578947369</c:v>
                </c:pt>
                <c:pt idx="570">
                  <c:v>1806.2521891418564</c:v>
                </c:pt>
                <c:pt idx="571">
                  <c:v>1806.2412587412587</c:v>
                </c:pt>
                <c:pt idx="572">
                  <c:v>1806.2303664921467</c:v>
                </c:pt>
                <c:pt idx="573">
                  <c:v>1806.219512195122</c:v>
                </c:pt>
                <c:pt idx="574">
                  <c:v>1806.2086956521739</c:v>
                </c:pt>
                <c:pt idx="575">
                  <c:v>1806.1979166666667</c:v>
                </c:pt>
                <c:pt idx="576">
                  <c:v>1806.1871750433274</c:v>
                </c:pt>
                <c:pt idx="577">
                  <c:v>1806.1764705882354</c:v>
                </c:pt>
                <c:pt idx="578">
                  <c:v>1806.174438687392</c:v>
                </c:pt>
                <c:pt idx="579">
                  <c:v>1806.1637931034484</c:v>
                </c:pt>
                <c:pt idx="580">
                  <c:v>1806.1531841652325</c:v>
                </c:pt>
                <c:pt idx="581">
                  <c:v>1806.1426116838488</c:v>
                </c:pt>
                <c:pt idx="582">
                  <c:v>1806.132075471698</c:v>
                </c:pt>
                <c:pt idx="583">
                  <c:v>1806.1215753424658</c:v>
                </c:pt>
                <c:pt idx="584">
                  <c:v>1806.1111111111111</c:v>
                </c:pt>
                <c:pt idx="585">
                  <c:v>1806.1006825938566</c:v>
                </c:pt>
                <c:pt idx="586">
                  <c:v>1806.0902896081773</c:v>
                </c:pt>
                <c:pt idx="587">
                  <c:v>1806.0799319727892</c:v>
                </c:pt>
                <c:pt idx="588">
                  <c:v>1806.0696095076401</c:v>
                </c:pt>
                <c:pt idx="589">
                  <c:v>1806.0593220338983</c:v>
                </c:pt>
                <c:pt idx="590">
                  <c:v>1806.0490693739425</c:v>
                </c:pt>
                <c:pt idx="591">
                  <c:v>1806.0388513513512</c:v>
                </c:pt>
                <c:pt idx="592">
                  <c:v>1806.0286677908937</c:v>
                </c:pt>
                <c:pt idx="593">
                  <c:v>1806.026936026936</c:v>
                </c:pt>
                <c:pt idx="594">
                  <c:v>1806.0168067226891</c:v>
                </c:pt>
                <c:pt idx="595">
                  <c:v>1806.0067114093961</c:v>
                </c:pt>
                <c:pt idx="596">
                  <c:v>1805.9966499162479</c:v>
                </c:pt>
                <c:pt idx="597">
                  <c:v>1805.9866220735787</c:v>
                </c:pt>
                <c:pt idx="598">
                  <c:v>1805.9766277128547</c:v>
                </c:pt>
                <c:pt idx="599">
                  <c:v>1805.9666666666667</c:v>
                </c:pt>
                <c:pt idx="600">
                  <c:v>1805.9567387687189</c:v>
                </c:pt>
                <c:pt idx="601">
                  <c:v>1805.9468438538206</c:v>
                </c:pt>
                <c:pt idx="602">
                  <c:v>1805.9369817578772</c:v>
                </c:pt>
                <c:pt idx="603">
                  <c:v>1805.9271523178809</c:v>
                </c:pt>
                <c:pt idx="604">
                  <c:v>1805.9173553719008</c:v>
                </c:pt>
                <c:pt idx="605">
                  <c:v>1805.9075907590759</c:v>
                </c:pt>
                <c:pt idx="606">
                  <c:v>1805.8978583196047</c:v>
                </c:pt>
                <c:pt idx="607">
                  <c:v>1805.8881578947369</c:v>
                </c:pt>
                <c:pt idx="608">
                  <c:v>1805.8784893267652</c:v>
                </c:pt>
                <c:pt idx="609">
                  <c:v>1805.8688524590164</c:v>
                </c:pt>
                <c:pt idx="610">
                  <c:v>1805.8592471358429</c:v>
                </c:pt>
                <c:pt idx="611">
                  <c:v>1805.8496732026144</c:v>
                </c:pt>
                <c:pt idx="612">
                  <c:v>1805.8401305057096</c:v>
                </c:pt>
                <c:pt idx="613">
                  <c:v>1805.8306188925083</c:v>
                </c:pt>
                <c:pt idx="614">
                  <c:v>1805.821138211382</c:v>
                </c:pt>
                <c:pt idx="615">
                  <c:v>1805.8116883116884</c:v>
                </c:pt>
                <c:pt idx="616">
                  <c:v>1805.8022690437601</c:v>
                </c:pt>
                <c:pt idx="617">
                  <c:v>1805.7928802588997</c:v>
                </c:pt>
                <c:pt idx="618">
                  <c:v>1805.7835218093699</c:v>
                </c:pt>
                <c:pt idx="619">
                  <c:v>1805.7741935483871</c:v>
                </c:pt>
                <c:pt idx="620">
                  <c:v>1805.7648953301127</c:v>
                </c:pt>
                <c:pt idx="621">
                  <c:v>1805.7556270096463</c:v>
                </c:pt>
                <c:pt idx="622">
                  <c:v>1805.7463884430176</c:v>
                </c:pt>
                <c:pt idx="623">
                  <c:v>1805.7371794871794</c:v>
                </c:pt>
                <c:pt idx="624">
                  <c:v>1805.7280000000001</c:v>
                </c:pt>
                <c:pt idx="625">
                  <c:v>1805.7188498402556</c:v>
                </c:pt>
                <c:pt idx="626">
                  <c:v>1805.7097288676237</c:v>
                </c:pt>
                <c:pt idx="627">
                  <c:v>1805.7006369426751</c:v>
                </c:pt>
                <c:pt idx="628">
                  <c:v>1805.6915739268679</c:v>
                </c:pt>
                <c:pt idx="629">
                  <c:v>1805.6746031746031</c:v>
                </c:pt>
                <c:pt idx="630">
                  <c:v>1805.6576862123613</c:v>
                </c:pt>
                <c:pt idx="631">
                  <c:v>1805.6408227848101</c:v>
                </c:pt>
                <c:pt idx="632">
                  <c:v>1805.6240126382306</c:v>
                </c:pt>
                <c:pt idx="633">
                  <c:v>1805.6072555205046</c:v>
                </c:pt>
                <c:pt idx="634">
                  <c:v>1805.5905511811025</c:v>
                </c:pt>
                <c:pt idx="635">
                  <c:v>1805.5738993710693</c:v>
                </c:pt>
                <c:pt idx="636">
                  <c:v>1805.5651491365777</c:v>
                </c:pt>
                <c:pt idx="637">
                  <c:v>1805.5485893416928</c:v>
                </c:pt>
                <c:pt idx="638">
                  <c:v>1805.5320813771518</c:v>
                </c:pt>
                <c:pt idx="639">
                  <c:v>1805.5234375</c:v>
                </c:pt>
                <c:pt idx="640">
                  <c:v>1805.5070202808113</c:v>
                </c:pt>
                <c:pt idx="641">
                  <c:v>1805.4906542056074</c:v>
                </c:pt>
                <c:pt idx="642">
                  <c:v>1805.4743390357698</c:v>
                </c:pt>
                <c:pt idx="643">
                  <c:v>1805.4580745341616</c:v>
                </c:pt>
                <c:pt idx="644">
                  <c:v>1805.4418604651162</c:v>
                </c:pt>
                <c:pt idx="645">
                  <c:v>1805.4256965944273</c:v>
                </c:pt>
                <c:pt idx="646">
                  <c:v>1805.4095826893354</c:v>
                </c:pt>
                <c:pt idx="647">
                  <c:v>1805.3935185185185</c:v>
                </c:pt>
                <c:pt idx="648">
                  <c:v>1805.3852080123268</c:v>
                </c:pt>
                <c:pt idx="649">
                  <c:v>1805.376923076923</c:v>
                </c:pt>
                <c:pt idx="650">
                  <c:v>1805.3609831029187</c:v>
                </c:pt>
                <c:pt idx="651">
                  <c:v>1805.3450920245398</c:v>
                </c:pt>
                <c:pt idx="652">
                  <c:v>1805.3292496171516</c:v>
                </c:pt>
                <c:pt idx="653">
                  <c:v>1805.3134556574923</c:v>
                </c:pt>
                <c:pt idx="654">
                  <c:v>1805.2977099236641</c:v>
                </c:pt>
                <c:pt idx="655">
                  <c:v>1805.282012195122</c:v>
                </c:pt>
                <c:pt idx="656">
                  <c:v>1805.2663622526636</c:v>
                </c:pt>
                <c:pt idx="657">
                  <c:v>1805.2507598784196</c:v>
                </c:pt>
                <c:pt idx="658">
                  <c:v>1805.2427921092565</c:v>
                </c:pt>
                <c:pt idx="659">
                  <c:v>1805.2272727272727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93-4136-9AE8-7A047EE24594}"/>
            </c:ext>
          </c:extLst>
        </c:ser>
        <c:marker val="1"/>
        <c:axId val="322322816"/>
        <c:axId val="322324352"/>
      </c:lineChart>
      <c:catAx>
        <c:axId val="322322816"/>
        <c:scaling>
          <c:orientation val="minMax"/>
        </c:scaling>
        <c:delete val="1"/>
        <c:axPos val="b"/>
        <c:numFmt formatCode="General" sourceLinked="1"/>
        <c:tickLblPos val="nextTo"/>
        <c:crossAx val="322324352"/>
        <c:crosses val="autoZero"/>
        <c:auto val="1"/>
        <c:lblAlgn val="ctr"/>
        <c:lblOffset val="100"/>
        <c:tickMarkSkip val="60"/>
      </c:catAx>
      <c:valAx>
        <c:axId val="322324352"/>
        <c:scaling>
          <c:orientation val="minMax"/>
        </c:scaling>
        <c:axPos val="l"/>
        <c:majorGridlines/>
        <c:numFmt formatCode="General" sourceLinked="1"/>
        <c:tickLblPos val="nextTo"/>
        <c:crossAx val="322322816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0.12211486636091859"/>
          <c:y val="1.4563849028363223E-2"/>
          <c:w val="0.83570789443428928"/>
          <c:h val="0.11749769121237345"/>
        </c:manualLayout>
      </c:layout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20000"/>
        <a:lumOff val="80000"/>
      </a:schemeClr>
    </a:solidFill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0570023353524624"/>
          <c:y val="0.16386107039353687"/>
          <c:w val="0.8905200386167007"/>
          <c:h val="0.7515357674361357"/>
        </c:manualLayout>
      </c:layout>
      <c:lineChart>
        <c:grouping val="standard"/>
        <c:ser>
          <c:idx val="0"/>
          <c:order val="0"/>
          <c:tx>
            <c:strRef>
              <c:f>結算估價!$E$1</c:f>
              <c:strCache>
                <c:ptCount val="1"/>
                <c:pt idx="0">
                  <c:v>創意</c:v>
                </c:pt>
              </c:strCache>
            </c:strRef>
          </c:tx>
          <c:marker>
            <c:symbol val="none"/>
          </c:marker>
          <c:cat>
            <c:numRef>
              <c:f>結算估價!$D$6:$D$666</c:f>
              <c:numCache>
                <c:formatCode>General</c:formatCode>
                <c:ptCount val="661"/>
                <c:pt idx="0">
                  <c:v>123000</c:v>
                </c:pt>
                <c:pt idx="1">
                  <c:v>123005</c:v>
                </c:pt>
                <c:pt idx="2">
                  <c:v>123010</c:v>
                </c:pt>
                <c:pt idx="3">
                  <c:v>123015</c:v>
                </c:pt>
                <c:pt idx="4">
                  <c:v>123020</c:v>
                </c:pt>
                <c:pt idx="5">
                  <c:v>123025</c:v>
                </c:pt>
                <c:pt idx="6">
                  <c:v>123030</c:v>
                </c:pt>
                <c:pt idx="7">
                  <c:v>123035</c:v>
                </c:pt>
                <c:pt idx="8">
                  <c:v>123040</c:v>
                </c:pt>
                <c:pt idx="9">
                  <c:v>123045</c:v>
                </c:pt>
                <c:pt idx="10">
                  <c:v>123050</c:v>
                </c:pt>
                <c:pt idx="11">
                  <c:v>123055</c:v>
                </c:pt>
                <c:pt idx="12">
                  <c:v>123100</c:v>
                </c:pt>
                <c:pt idx="13">
                  <c:v>123105</c:v>
                </c:pt>
                <c:pt idx="14">
                  <c:v>123110</c:v>
                </c:pt>
                <c:pt idx="15">
                  <c:v>123115</c:v>
                </c:pt>
                <c:pt idx="16">
                  <c:v>123120</c:v>
                </c:pt>
                <c:pt idx="17">
                  <c:v>123125</c:v>
                </c:pt>
                <c:pt idx="18">
                  <c:v>123130</c:v>
                </c:pt>
                <c:pt idx="19">
                  <c:v>123135</c:v>
                </c:pt>
                <c:pt idx="20">
                  <c:v>123140</c:v>
                </c:pt>
                <c:pt idx="21">
                  <c:v>123145</c:v>
                </c:pt>
                <c:pt idx="22">
                  <c:v>123150</c:v>
                </c:pt>
                <c:pt idx="23">
                  <c:v>123155</c:v>
                </c:pt>
                <c:pt idx="24">
                  <c:v>123200</c:v>
                </c:pt>
                <c:pt idx="25">
                  <c:v>123205</c:v>
                </c:pt>
                <c:pt idx="26">
                  <c:v>123210</c:v>
                </c:pt>
                <c:pt idx="27">
                  <c:v>123215</c:v>
                </c:pt>
                <c:pt idx="28">
                  <c:v>123220</c:v>
                </c:pt>
                <c:pt idx="29">
                  <c:v>123225</c:v>
                </c:pt>
                <c:pt idx="30">
                  <c:v>123230</c:v>
                </c:pt>
                <c:pt idx="31">
                  <c:v>123235</c:v>
                </c:pt>
                <c:pt idx="32">
                  <c:v>123240</c:v>
                </c:pt>
                <c:pt idx="33">
                  <c:v>123245</c:v>
                </c:pt>
                <c:pt idx="34">
                  <c:v>123250</c:v>
                </c:pt>
                <c:pt idx="35">
                  <c:v>123255</c:v>
                </c:pt>
                <c:pt idx="36">
                  <c:v>123300</c:v>
                </c:pt>
                <c:pt idx="37">
                  <c:v>123305</c:v>
                </c:pt>
                <c:pt idx="38">
                  <c:v>123310</c:v>
                </c:pt>
                <c:pt idx="39">
                  <c:v>123315</c:v>
                </c:pt>
                <c:pt idx="40">
                  <c:v>123320</c:v>
                </c:pt>
                <c:pt idx="41">
                  <c:v>123325</c:v>
                </c:pt>
                <c:pt idx="42">
                  <c:v>123330</c:v>
                </c:pt>
                <c:pt idx="43">
                  <c:v>123335</c:v>
                </c:pt>
                <c:pt idx="44">
                  <c:v>123340</c:v>
                </c:pt>
                <c:pt idx="45">
                  <c:v>123345</c:v>
                </c:pt>
                <c:pt idx="46">
                  <c:v>123350</c:v>
                </c:pt>
                <c:pt idx="47">
                  <c:v>123355</c:v>
                </c:pt>
                <c:pt idx="48">
                  <c:v>123400</c:v>
                </c:pt>
                <c:pt idx="49">
                  <c:v>123405</c:v>
                </c:pt>
                <c:pt idx="50">
                  <c:v>123410</c:v>
                </c:pt>
                <c:pt idx="51">
                  <c:v>123415</c:v>
                </c:pt>
                <c:pt idx="52">
                  <c:v>123420</c:v>
                </c:pt>
                <c:pt idx="53">
                  <c:v>123425</c:v>
                </c:pt>
                <c:pt idx="54">
                  <c:v>123430</c:v>
                </c:pt>
                <c:pt idx="55">
                  <c:v>123435</c:v>
                </c:pt>
                <c:pt idx="56">
                  <c:v>123440</c:v>
                </c:pt>
                <c:pt idx="57">
                  <c:v>123445</c:v>
                </c:pt>
                <c:pt idx="58">
                  <c:v>123450</c:v>
                </c:pt>
                <c:pt idx="59">
                  <c:v>123455</c:v>
                </c:pt>
                <c:pt idx="60">
                  <c:v>123500</c:v>
                </c:pt>
                <c:pt idx="61">
                  <c:v>123505</c:v>
                </c:pt>
                <c:pt idx="62">
                  <c:v>123510</c:v>
                </c:pt>
                <c:pt idx="63">
                  <c:v>123515</c:v>
                </c:pt>
                <c:pt idx="64">
                  <c:v>123520</c:v>
                </c:pt>
                <c:pt idx="65">
                  <c:v>123525</c:v>
                </c:pt>
                <c:pt idx="66">
                  <c:v>123530</c:v>
                </c:pt>
                <c:pt idx="67">
                  <c:v>123535</c:v>
                </c:pt>
                <c:pt idx="68">
                  <c:v>123540</c:v>
                </c:pt>
                <c:pt idx="69">
                  <c:v>123545</c:v>
                </c:pt>
                <c:pt idx="70">
                  <c:v>123550</c:v>
                </c:pt>
                <c:pt idx="71">
                  <c:v>123555</c:v>
                </c:pt>
                <c:pt idx="72">
                  <c:v>123600</c:v>
                </c:pt>
                <c:pt idx="73">
                  <c:v>123605</c:v>
                </c:pt>
                <c:pt idx="74">
                  <c:v>123610</c:v>
                </c:pt>
                <c:pt idx="75">
                  <c:v>123615</c:v>
                </c:pt>
                <c:pt idx="76">
                  <c:v>123620</c:v>
                </c:pt>
                <c:pt idx="77">
                  <c:v>123625</c:v>
                </c:pt>
                <c:pt idx="78">
                  <c:v>123630</c:v>
                </c:pt>
                <c:pt idx="79">
                  <c:v>123635</c:v>
                </c:pt>
                <c:pt idx="80">
                  <c:v>123640</c:v>
                </c:pt>
                <c:pt idx="81">
                  <c:v>123645</c:v>
                </c:pt>
                <c:pt idx="82">
                  <c:v>123650</c:v>
                </c:pt>
                <c:pt idx="83">
                  <c:v>123655</c:v>
                </c:pt>
                <c:pt idx="84">
                  <c:v>123700</c:v>
                </c:pt>
                <c:pt idx="85">
                  <c:v>123705</c:v>
                </c:pt>
                <c:pt idx="86">
                  <c:v>123710</c:v>
                </c:pt>
                <c:pt idx="87">
                  <c:v>123715</c:v>
                </c:pt>
                <c:pt idx="88">
                  <c:v>123720</c:v>
                </c:pt>
                <c:pt idx="89">
                  <c:v>123725</c:v>
                </c:pt>
                <c:pt idx="90">
                  <c:v>123730</c:v>
                </c:pt>
                <c:pt idx="91">
                  <c:v>123735</c:v>
                </c:pt>
                <c:pt idx="92">
                  <c:v>123740</c:v>
                </c:pt>
                <c:pt idx="93">
                  <c:v>123745</c:v>
                </c:pt>
                <c:pt idx="94">
                  <c:v>123750</c:v>
                </c:pt>
                <c:pt idx="95">
                  <c:v>123755</c:v>
                </c:pt>
                <c:pt idx="96">
                  <c:v>123800</c:v>
                </c:pt>
                <c:pt idx="97">
                  <c:v>123805</c:v>
                </c:pt>
                <c:pt idx="98">
                  <c:v>123810</c:v>
                </c:pt>
                <c:pt idx="99">
                  <c:v>123815</c:v>
                </c:pt>
                <c:pt idx="100">
                  <c:v>123820</c:v>
                </c:pt>
                <c:pt idx="101">
                  <c:v>123825</c:v>
                </c:pt>
                <c:pt idx="102">
                  <c:v>123830</c:v>
                </c:pt>
                <c:pt idx="103">
                  <c:v>123835</c:v>
                </c:pt>
                <c:pt idx="104">
                  <c:v>123840</c:v>
                </c:pt>
                <c:pt idx="105">
                  <c:v>123845</c:v>
                </c:pt>
                <c:pt idx="106">
                  <c:v>123850</c:v>
                </c:pt>
                <c:pt idx="107">
                  <c:v>123855</c:v>
                </c:pt>
                <c:pt idx="108">
                  <c:v>123900</c:v>
                </c:pt>
                <c:pt idx="109">
                  <c:v>123905</c:v>
                </c:pt>
                <c:pt idx="110">
                  <c:v>123910</c:v>
                </c:pt>
                <c:pt idx="111">
                  <c:v>123915</c:v>
                </c:pt>
                <c:pt idx="112">
                  <c:v>123920</c:v>
                </c:pt>
                <c:pt idx="113">
                  <c:v>123925</c:v>
                </c:pt>
                <c:pt idx="114">
                  <c:v>123930</c:v>
                </c:pt>
                <c:pt idx="115">
                  <c:v>123935</c:v>
                </c:pt>
                <c:pt idx="116">
                  <c:v>123940</c:v>
                </c:pt>
                <c:pt idx="117">
                  <c:v>123945</c:v>
                </c:pt>
                <c:pt idx="118">
                  <c:v>123950</c:v>
                </c:pt>
                <c:pt idx="119">
                  <c:v>123955</c:v>
                </c:pt>
                <c:pt idx="120">
                  <c:v>124000</c:v>
                </c:pt>
                <c:pt idx="121">
                  <c:v>124005</c:v>
                </c:pt>
                <c:pt idx="122">
                  <c:v>124010</c:v>
                </c:pt>
                <c:pt idx="123">
                  <c:v>124015</c:v>
                </c:pt>
                <c:pt idx="124">
                  <c:v>124020</c:v>
                </c:pt>
                <c:pt idx="125">
                  <c:v>124025</c:v>
                </c:pt>
                <c:pt idx="126">
                  <c:v>124030</c:v>
                </c:pt>
                <c:pt idx="127">
                  <c:v>124035</c:v>
                </c:pt>
                <c:pt idx="128">
                  <c:v>124040</c:v>
                </c:pt>
                <c:pt idx="129">
                  <c:v>124045</c:v>
                </c:pt>
                <c:pt idx="130">
                  <c:v>124050</c:v>
                </c:pt>
                <c:pt idx="131">
                  <c:v>124055</c:v>
                </c:pt>
                <c:pt idx="132">
                  <c:v>124100</c:v>
                </c:pt>
                <c:pt idx="133">
                  <c:v>124105</c:v>
                </c:pt>
                <c:pt idx="134">
                  <c:v>124110</c:v>
                </c:pt>
                <c:pt idx="135">
                  <c:v>124115</c:v>
                </c:pt>
                <c:pt idx="136">
                  <c:v>124120</c:v>
                </c:pt>
                <c:pt idx="137">
                  <c:v>124125</c:v>
                </c:pt>
                <c:pt idx="138">
                  <c:v>124130</c:v>
                </c:pt>
                <c:pt idx="139">
                  <c:v>124135</c:v>
                </c:pt>
                <c:pt idx="140">
                  <c:v>124140</c:v>
                </c:pt>
                <c:pt idx="141">
                  <c:v>124145</c:v>
                </c:pt>
                <c:pt idx="142">
                  <c:v>124150</c:v>
                </c:pt>
                <c:pt idx="143">
                  <c:v>124155</c:v>
                </c:pt>
                <c:pt idx="144">
                  <c:v>124200</c:v>
                </c:pt>
                <c:pt idx="145">
                  <c:v>124205</c:v>
                </c:pt>
                <c:pt idx="146">
                  <c:v>124210</c:v>
                </c:pt>
                <c:pt idx="147">
                  <c:v>124215</c:v>
                </c:pt>
                <c:pt idx="148">
                  <c:v>124220</c:v>
                </c:pt>
                <c:pt idx="149">
                  <c:v>124225</c:v>
                </c:pt>
                <c:pt idx="150">
                  <c:v>124230</c:v>
                </c:pt>
                <c:pt idx="151">
                  <c:v>124235</c:v>
                </c:pt>
                <c:pt idx="152">
                  <c:v>124240</c:v>
                </c:pt>
                <c:pt idx="153">
                  <c:v>124245</c:v>
                </c:pt>
                <c:pt idx="154">
                  <c:v>124250</c:v>
                </c:pt>
                <c:pt idx="155">
                  <c:v>124255</c:v>
                </c:pt>
                <c:pt idx="156">
                  <c:v>124300</c:v>
                </c:pt>
                <c:pt idx="157">
                  <c:v>124305</c:v>
                </c:pt>
                <c:pt idx="158">
                  <c:v>124310</c:v>
                </c:pt>
                <c:pt idx="159">
                  <c:v>124315</c:v>
                </c:pt>
                <c:pt idx="160">
                  <c:v>124320</c:v>
                </c:pt>
                <c:pt idx="161">
                  <c:v>124325</c:v>
                </c:pt>
                <c:pt idx="162">
                  <c:v>124330</c:v>
                </c:pt>
                <c:pt idx="163">
                  <c:v>124335</c:v>
                </c:pt>
                <c:pt idx="164">
                  <c:v>124340</c:v>
                </c:pt>
                <c:pt idx="165">
                  <c:v>124345</c:v>
                </c:pt>
                <c:pt idx="166">
                  <c:v>124350</c:v>
                </c:pt>
                <c:pt idx="167">
                  <c:v>124355</c:v>
                </c:pt>
                <c:pt idx="168">
                  <c:v>124400</c:v>
                </c:pt>
                <c:pt idx="169">
                  <c:v>124405</c:v>
                </c:pt>
                <c:pt idx="170">
                  <c:v>124410</c:v>
                </c:pt>
                <c:pt idx="171">
                  <c:v>124415</c:v>
                </c:pt>
                <c:pt idx="172">
                  <c:v>124420</c:v>
                </c:pt>
                <c:pt idx="173">
                  <c:v>124425</c:v>
                </c:pt>
                <c:pt idx="174">
                  <c:v>124430</c:v>
                </c:pt>
                <c:pt idx="175">
                  <c:v>124435</c:v>
                </c:pt>
                <c:pt idx="176">
                  <c:v>124440</c:v>
                </c:pt>
                <c:pt idx="177">
                  <c:v>124445</c:v>
                </c:pt>
                <c:pt idx="178">
                  <c:v>124450</c:v>
                </c:pt>
                <c:pt idx="179">
                  <c:v>124455</c:v>
                </c:pt>
                <c:pt idx="180">
                  <c:v>124500</c:v>
                </c:pt>
                <c:pt idx="181">
                  <c:v>124505</c:v>
                </c:pt>
                <c:pt idx="182">
                  <c:v>124510</c:v>
                </c:pt>
                <c:pt idx="183">
                  <c:v>124515</c:v>
                </c:pt>
                <c:pt idx="184">
                  <c:v>124520</c:v>
                </c:pt>
                <c:pt idx="185">
                  <c:v>124525</c:v>
                </c:pt>
                <c:pt idx="186">
                  <c:v>124530</c:v>
                </c:pt>
                <c:pt idx="187">
                  <c:v>124535</c:v>
                </c:pt>
                <c:pt idx="188">
                  <c:v>124540</c:v>
                </c:pt>
                <c:pt idx="189">
                  <c:v>124545</c:v>
                </c:pt>
                <c:pt idx="190">
                  <c:v>124550</c:v>
                </c:pt>
                <c:pt idx="191">
                  <c:v>124555</c:v>
                </c:pt>
                <c:pt idx="192">
                  <c:v>124600</c:v>
                </c:pt>
                <c:pt idx="193">
                  <c:v>124605</c:v>
                </c:pt>
                <c:pt idx="194">
                  <c:v>124610</c:v>
                </c:pt>
                <c:pt idx="195">
                  <c:v>124615</c:v>
                </c:pt>
                <c:pt idx="196">
                  <c:v>124620</c:v>
                </c:pt>
                <c:pt idx="197">
                  <c:v>124625</c:v>
                </c:pt>
                <c:pt idx="198">
                  <c:v>124630</c:v>
                </c:pt>
                <c:pt idx="199">
                  <c:v>124635</c:v>
                </c:pt>
                <c:pt idx="200">
                  <c:v>124640</c:v>
                </c:pt>
                <c:pt idx="201">
                  <c:v>124645</c:v>
                </c:pt>
                <c:pt idx="202">
                  <c:v>124650</c:v>
                </c:pt>
                <c:pt idx="203">
                  <c:v>124655</c:v>
                </c:pt>
                <c:pt idx="204">
                  <c:v>124700</c:v>
                </c:pt>
                <c:pt idx="205">
                  <c:v>124705</c:v>
                </c:pt>
                <c:pt idx="206">
                  <c:v>124710</c:v>
                </c:pt>
                <c:pt idx="207">
                  <c:v>124715</c:v>
                </c:pt>
                <c:pt idx="208">
                  <c:v>124720</c:v>
                </c:pt>
                <c:pt idx="209">
                  <c:v>124725</c:v>
                </c:pt>
                <c:pt idx="210">
                  <c:v>124730</c:v>
                </c:pt>
                <c:pt idx="211">
                  <c:v>124735</c:v>
                </c:pt>
                <c:pt idx="212">
                  <c:v>124740</c:v>
                </c:pt>
                <c:pt idx="213">
                  <c:v>124745</c:v>
                </c:pt>
                <c:pt idx="214">
                  <c:v>124750</c:v>
                </c:pt>
                <c:pt idx="215">
                  <c:v>124755</c:v>
                </c:pt>
                <c:pt idx="216">
                  <c:v>124800</c:v>
                </c:pt>
                <c:pt idx="217">
                  <c:v>124805</c:v>
                </c:pt>
                <c:pt idx="218">
                  <c:v>124810</c:v>
                </c:pt>
                <c:pt idx="219">
                  <c:v>124815</c:v>
                </c:pt>
                <c:pt idx="220">
                  <c:v>124820</c:v>
                </c:pt>
                <c:pt idx="221">
                  <c:v>124825</c:v>
                </c:pt>
                <c:pt idx="222">
                  <c:v>124830</c:v>
                </c:pt>
                <c:pt idx="223">
                  <c:v>124835</c:v>
                </c:pt>
                <c:pt idx="224">
                  <c:v>124840</c:v>
                </c:pt>
                <c:pt idx="225">
                  <c:v>124845</c:v>
                </c:pt>
                <c:pt idx="226">
                  <c:v>124850</c:v>
                </c:pt>
                <c:pt idx="227">
                  <c:v>124855</c:v>
                </c:pt>
                <c:pt idx="228">
                  <c:v>124900</c:v>
                </c:pt>
                <c:pt idx="229">
                  <c:v>124905</c:v>
                </c:pt>
                <c:pt idx="230">
                  <c:v>124910</c:v>
                </c:pt>
                <c:pt idx="231">
                  <c:v>124915</c:v>
                </c:pt>
                <c:pt idx="232">
                  <c:v>124920</c:v>
                </c:pt>
                <c:pt idx="233">
                  <c:v>124925</c:v>
                </c:pt>
                <c:pt idx="234">
                  <c:v>124930</c:v>
                </c:pt>
                <c:pt idx="235">
                  <c:v>124935</c:v>
                </c:pt>
                <c:pt idx="236">
                  <c:v>124940</c:v>
                </c:pt>
                <c:pt idx="237">
                  <c:v>124945</c:v>
                </c:pt>
                <c:pt idx="238">
                  <c:v>124950</c:v>
                </c:pt>
                <c:pt idx="239">
                  <c:v>124955</c:v>
                </c:pt>
                <c:pt idx="240">
                  <c:v>125000</c:v>
                </c:pt>
                <c:pt idx="241">
                  <c:v>125005</c:v>
                </c:pt>
                <c:pt idx="242">
                  <c:v>125010</c:v>
                </c:pt>
                <c:pt idx="243">
                  <c:v>125015</c:v>
                </c:pt>
                <c:pt idx="244">
                  <c:v>125020</c:v>
                </c:pt>
                <c:pt idx="245">
                  <c:v>125025</c:v>
                </c:pt>
                <c:pt idx="246">
                  <c:v>125030</c:v>
                </c:pt>
                <c:pt idx="247">
                  <c:v>125035</c:v>
                </c:pt>
                <c:pt idx="248">
                  <c:v>125040</c:v>
                </c:pt>
                <c:pt idx="249">
                  <c:v>125045</c:v>
                </c:pt>
                <c:pt idx="250">
                  <c:v>125050</c:v>
                </c:pt>
                <c:pt idx="251">
                  <c:v>125055</c:v>
                </c:pt>
                <c:pt idx="252">
                  <c:v>125100</c:v>
                </c:pt>
                <c:pt idx="253">
                  <c:v>125105</c:v>
                </c:pt>
                <c:pt idx="254">
                  <c:v>125110</c:v>
                </c:pt>
                <c:pt idx="255">
                  <c:v>125115</c:v>
                </c:pt>
                <c:pt idx="256">
                  <c:v>125120</c:v>
                </c:pt>
                <c:pt idx="257">
                  <c:v>125125</c:v>
                </c:pt>
                <c:pt idx="258">
                  <c:v>125130</c:v>
                </c:pt>
                <c:pt idx="259">
                  <c:v>125135</c:v>
                </c:pt>
                <c:pt idx="260">
                  <c:v>125140</c:v>
                </c:pt>
                <c:pt idx="261">
                  <c:v>125145</c:v>
                </c:pt>
                <c:pt idx="262">
                  <c:v>125150</c:v>
                </c:pt>
                <c:pt idx="263">
                  <c:v>125155</c:v>
                </c:pt>
                <c:pt idx="264">
                  <c:v>125200</c:v>
                </c:pt>
                <c:pt idx="265">
                  <c:v>125205</c:v>
                </c:pt>
                <c:pt idx="266">
                  <c:v>125210</c:v>
                </c:pt>
                <c:pt idx="267">
                  <c:v>125215</c:v>
                </c:pt>
                <c:pt idx="268">
                  <c:v>125220</c:v>
                </c:pt>
                <c:pt idx="269">
                  <c:v>125225</c:v>
                </c:pt>
                <c:pt idx="270">
                  <c:v>125230</c:v>
                </c:pt>
                <c:pt idx="271">
                  <c:v>125235</c:v>
                </c:pt>
                <c:pt idx="272">
                  <c:v>125240</c:v>
                </c:pt>
                <c:pt idx="273">
                  <c:v>125245</c:v>
                </c:pt>
                <c:pt idx="274">
                  <c:v>125250</c:v>
                </c:pt>
                <c:pt idx="275">
                  <c:v>125255</c:v>
                </c:pt>
                <c:pt idx="276">
                  <c:v>125300</c:v>
                </c:pt>
                <c:pt idx="277">
                  <c:v>125305</c:v>
                </c:pt>
                <c:pt idx="278">
                  <c:v>125310</c:v>
                </c:pt>
                <c:pt idx="279">
                  <c:v>125315</c:v>
                </c:pt>
                <c:pt idx="280">
                  <c:v>125320</c:v>
                </c:pt>
                <c:pt idx="281">
                  <c:v>125325</c:v>
                </c:pt>
                <c:pt idx="282">
                  <c:v>125330</c:v>
                </c:pt>
                <c:pt idx="283">
                  <c:v>125335</c:v>
                </c:pt>
                <c:pt idx="284">
                  <c:v>125340</c:v>
                </c:pt>
                <c:pt idx="285">
                  <c:v>125345</c:v>
                </c:pt>
                <c:pt idx="286">
                  <c:v>125350</c:v>
                </c:pt>
                <c:pt idx="287">
                  <c:v>125355</c:v>
                </c:pt>
                <c:pt idx="288">
                  <c:v>125400</c:v>
                </c:pt>
                <c:pt idx="289">
                  <c:v>125405</c:v>
                </c:pt>
                <c:pt idx="290">
                  <c:v>125410</c:v>
                </c:pt>
                <c:pt idx="291">
                  <c:v>125415</c:v>
                </c:pt>
                <c:pt idx="292">
                  <c:v>125420</c:v>
                </c:pt>
                <c:pt idx="293">
                  <c:v>125425</c:v>
                </c:pt>
                <c:pt idx="294">
                  <c:v>125430</c:v>
                </c:pt>
                <c:pt idx="295">
                  <c:v>125435</c:v>
                </c:pt>
                <c:pt idx="296">
                  <c:v>125440</c:v>
                </c:pt>
                <c:pt idx="297">
                  <c:v>125445</c:v>
                </c:pt>
                <c:pt idx="298">
                  <c:v>125450</c:v>
                </c:pt>
                <c:pt idx="299">
                  <c:v>125455</c:v>
                </c:pt>
                <c:pt idx="300">
                  <c:v>125500</c:v>
                </c:pt>
                <c:pt idx="301">
                  <c:v>125505</c:v>
                </c:pt>
                <c:pt idx="302">
                  <c:v>125510</c:v>
                </c:pt>
                <c:pt idx="303">
                  <c:v>125515</c:v>
                </c:pt>
                <c:pt idx="304">
                  <c:v>125520</c:v>
                </c:pt>
                <c:pt idx="305">
                  <c:v>125525</c:v>
                </c:pt>
                <c:pt idx="306">
                  <c:v>125530</c:v>
                </c:pt>
                <c:pt idx="307">
                  <c:v>125535</c:v>
                </c:pt>
                <c:pt idx="308">
                  <c:v>125540</c:v>
                </c:pt>
                <c:pt idx="309">
                  <c:v>125545</c:v>
                </c:pt>
                <c:pt idx="310">
                  <c:v>125550</c:v>
                </c:pt>
                <c:pt idx="311">
                  <c:v>125555</c:v>
                </c:pt>
                <c:pt idx="312">
                  <c:v>125600</c:v>
                </c:pt>
                <c:pt idx="313">
                  <c:v>125605</c:v>
                </c:pt>
                <c:pt idx="314">
                  <c:v>125610</c:v>
                </c:pt>
                <c:pt idx="315">
                  <c:v>125615</c:v>
                </c:pt>
                <c:pt idx="316">
                  <c:v>125620</c:v>
                </c:pt>
                <c:pt idx="317">
                  <c:v>125625</c:v>
                </c:pt>
                <c:pt idx="318">
                  <c:v>125630</c:v>
                </c:pt>
                <c:pt idx="319">
                  <c:v>125635</c:v>
                </c:pt>
                <c:pt idx="320">
                  <c:v>125640</c:v>
                </c:pt>
                <c:pt idx="321">
                  <c:v>125645</c:v>
                </c:pt>
                <c:pt idx="322">
                  <c:v>125650</c:v>
                </c:pt>
                <c:pt idx="323">
                  <c:v>125655</c:v>
                </c:pt>
                <c:pt idx="324">
                  <c:v>125700</c:v>
                </c:pt>
                <c:pt idx="325">
                  <c:v>125705</c:v>
                </c:pt>
                <c:pt idx="326">
                  <c:v>125710</c:v>
                </c:pt>
                <c:pt idx="327">
                  <c:v>125715</c:v>
                </c:pt>
                <c:pt idx="328">
                  <c:v>125720</c:v>
                </c:pt>
                <c:pt idx="329">
                  <c:v>125725</c:v>
                </c:pt>
                <c:pt idx="330">
                  <c:v>125730</c:v>
                </c:pt>
                <c:pt idx="331">
                  <c:v>125735</c:v>
                </c:pt>
                <c:pt idx="332">
                  <c:v>125740</c:v>
                </c:pt>
                <c:pt idx="333">
                  <c:v>125745</c:v>
                </c:pt>
                <c:pt idx="334">
                  <c:v>125750</c:v>
                </c:pt>
                <c:pt idx="335">
                  <c:v>125755</c:v>
                </c:pt>
                <c:pt idx="336">
                  <c:v>125800</c:v>
                </c:pt>
                <c:pt idx="337">
                  <c:v>125805</c:v>
                </c:pt>
                <c:pt idx="338">
                  <c:v>125810</c:v>
                </c:pt>
                <c:pt idx="339">
                  <c:v>125815</c:v>
                </c:pt>
                <c:pt idx="340">
                  <c:v>125820</c:v>
                </c:pt>
                <c:pt idx="341">
                  <c:v>125825</c:v>
                </c:pt>
                <c:pt idx="342">
                  <c:v>125830</c:v>
                </c:pt>
                <c:pt idx="343">
                  <c:v>125835</c:v>
                </c:pt>
                <c:pt idx="344">
                  <c:v>125840</c:v>
                </c:pt>
                <c:pt idx="345">
                  <c:v>125845</c:v>
                </c:pt>
                <c:pt idx="346">
                  <c:v>125850</c:v>
                </c:pt>
                <c:pt idx="347">
                  <c:v>125855</c:v>
                </c:pt>
                <c:pt idx="348">
                  <c:v>125900</c:v>
                </c:pt>
                <c:pt idx="349">
                  <c:v>125905</c:v>
                </c:pt>
                <c:pt idx="350">
                  <c:v>125910</c:v>
                </c:pt>
                <c:pt idx="351">
                  <c:v>125915</c:v>
                </c:pt>
                <c:pt idx="352">
                  <c:v>125920</c:v>
                </c:pt>
                <c:pt idx="353">
                  <c:v>125925</c:v>
                </c:pt>
                <c:pt idx="354">
                  <c:v>125930</c:v>
                </c:pt>
                <c:pt idx="355">
                  <c:v>125935</c:v>
                </c:pt>
                <c:pt idx="356">
                  <c:v>125940</c:v>
                </c:pt>
                <c:pt idx="357">
                  <c:v>125945</c:v>
                </c:pt>
                <c:pt idx="358">
                  <c:v>125950</c:v>
                </c:pt>
                <c:pt idx="359">
                  <c:v>125955</c:v>
                </c:pt>
                <c:pt idx="360">
                  <c:v>130000</c:v>
                </c:pt>
                <c:pt idx="361">
                  <c:v>130005</c:v>
                </c:pt>
                <c:pt idx="362">
                  <c:v>130010</c:v>
                </c:pt>
                <c:pt idx="363">
                  <c:v>130015</c:v>
                </c:pt>
                <c:pt idx="364">
                  <c:v>130020</c:v>
                </c:pt>
                <c:pt idx="365">
                  <c:v>130025</c:v>
                </c:pt>
                <c:pt idx="366">
                  <c:v>130030</c:v>
                </c:pt>
                <c:pt idx="367">
                  <c:v>130035</c:v>
                </c:pt>
                <c:pt idx="368">
                  <c:v>130040</c:v>
                </c:pt>
                <c:pt idx="369">
                  <c:v>130045</c:v>
                </c:pt>
                <c:pt idx="370">
                  <c:v>130050</c:v>
                </c:pt>
                <c:pt idx="371">
                  <c:v>130055</c:v>
                </c:pt>
                <c:pt idx="372">
                  <c:v>130100</c:v>
                </c:pt>
                <c:pt idx="373">
                  <c:v>130105</c:v>
                </c:pt>
                <c:pt idx="374">
                  <c:v>130110</c:v>
                </c:pt>
                <c:pt idx="375">
                  <c:v>130115</c:v>
                </c:pt>
                <c:pt idx="376">
                  <c:v>130120</c:v>
                </c:pt>
                <c:pt idx="377">
                  <c:v>130125</c:v>
                </c:pt>
                <c:pt idx="378">
                  <c:v>130130</c:v>
                </c:pt>
                <c:pt idx="379">
                  <c:v>130135</c:v>
                </c:pt>
                <c:pt idx="380">
                  <c:v>130140</c:v>
                </c:pt>
                <c:pt idx="381">
                  <c:v>130145</c:v>
                </c:pt>
                <c:pt idx="382">
                  <c:v>130150</c:v>
                </c:pt>
                <c:pt idx="383">
                  <c:v>130155</c:v>
                </c:pt>
                <c:pt idx="384">
                  <c:v>130200</c:v>
                </c:pt>
                <c:pt idx="385">
                  <c:v>130205</c:v>
                </c:pt>
                <c:pt idx="386">
                  <c:v>130210</c:v>
                </c:pt>
                <c:pt idx="387">
                  <c:v>130215</c:v>
                </c:pt>
                <c:pt idx="388">
                  <c:v>130220</c:v>
                </c:pt>
                <c:pt idx="389">
                  <c:v>130225</c:v>
                </c:pt>
                <c:pt idx="390">
                  <c:v>130230</c:v>
                </c:pt>
                <c:pt idx="391">
                  <c:v>130235</c:v>
                </c:pt>
                <c:pt idx="392">
                  <c:v>130240</c:v>
                </c:pt>
                <c:pt idx="393">
                  <c:v>130245</c:v>
                </c:pt>
                <c:pt idx="394">
                  <c:v>130250</c:v>
                </c:pt>
                <c:pt idx="395">
                  <c:v>130255</c:v>
                </c:pt>
                <c:pt idx="396">
                  <c:v>130300</c:v>
                </c:pt>
                <c:pt idx="397">
                  <c:v>130305</c:v>
                </c:pt>
                <c:pt idx="398">
                  <c:v>130310</c:v>
                </c:pt>
                <c:pt idx="399">
                  <c:v>130315</c:v>
                </c:pt>
                <c:pt idx="400">
                  <c:v>130320</c:v>
                </c:pt>
                <c:pt idx="401">
                  <c:v>130325</c:v>
                </c:pt>
                <c:pt idx="402">
                  <c:v>130330</c:v>
                </c:pt>
                <c:pt idx="403">
                  <c:v>130335</c:v>
                </c:pt>
                <c:pt idx="404">
                  <c:v>130340</c:v>
                </c:pt>
                <c:pt idx="405">
                  <c:v>130345</c:v>
                </c:pt>
                <c:pt idx="406">
                  <c:v>130350</c:v>
                </c:pt>
                <c:pt idx="407">
                  <c:v>130355</c:v>
                </c:pt>
                <c:pt idx="408">
                  <c:v>130400</c:v>
                </c:pt>
                <c:pt idx="409">
                  <c:v>130405</c:v>
                </c:pt>
                <c:pt idx="410">
                  <c:v>130410</c:v>
                </c:pt>
                <c:pt idx="411">
                  <c:v>130415</c:v>
                </c:pt>
                <c:pt idx="412">
                  <c:v>130420</c:v>
                </c:pt>
                <c:pt idx="413">
                  <c:v>130425</c:v>
                </c:pt>
                <c:pt idx="414">
                  <c:v>130430</c:v>
                </c:pt>
                <c:pt idx="415">
                  <c:v>130435</c:v>
                </c:pt>
                <c:pt idx="416">
                  <c:v>130440</c:v>
                </c:pt>
                <c:pt idx="417">
                  <c:v>130445</c:v>
                </c:pt>
                <c:pt idx="418">
                  <c:v>130450</c:v>
                </c:pt>
                <c:pt idx="419">
                  <c:v>130455</c:v>
                </c:pt>
                <c:pt idx="420">
                  <c:v>130500</c:v>
                </c:pt>
                <c:pt idx="421">
                  <c:v>130505</c:v>
                </c:pt>
                <c:pt idx="422">
                  <c:v>130510</c:v>
                </c:pt>
                <c:pt idx="423">
                  <c:v>130515</c:v>
                </c:pt>
                <c:pt idx="424">
                  <c:v>130520</c:v>
                </c:pt>
                <c:pt idx="425">
                  <c:v>130525</c:v>
                </c:pt>
                <c:pt idx="426">
                  <c:v>130530</c:v>
                </c:pt>
                <c:pt idx="427">
                  <c:v>130535</c:v>
                </c:pt>
                <c:pt idx="428">
                  <c:v>130540</c:v>
                </c:pt>
                <c:pt idx="429">
                  <c:v>130545</c:v>
                </c:pt>
                <c:pt idx="430">
                  <c:v>130550</c:v>
                </c:pt>
                <c:pt idx="431">
                  <c:v>130555</c:v>
                </c:pt>
                <c:pt idx="432">
                  <c:v>130600</c:v>
                </c:pt>
                <c:pt idx="433">
                  <c:v>130605</c:v>
                </c:pt>
                <c:pt idx="434">
                  <c:v>130610</c:v>
                </c:pt>
                <c:pt idx="435">
                  <c:v>130615</c:v>
                </c:pt>
                <c:pt idx="436">
                  <c:v>130620</c:v>
                </c:pt>
                <c:pt idx="437">
                  <c:v>130625</c:v>
                </c:pt>
                <c:pt idx="438">
                  <c:v>130630</c:v>
                </c:pt>
                <c:pt idx="439">
                  <c:v>130635</c:v>
                </c:pt>
                <c:pt idx="440">
                  <c:v>130640</c:v>
                </c:pt>
                <c:pt idx="441">
                  <c:v>130645</c:v>
                </c:pt>
                <c:pt idx="442">
                  <c:v>130650</c:v>
                </c:pt>
                <c:pt idx="443">
                  <c:v>130655</c:v>
                </c:pt>
                <c:pt idx="444">
                  <c:v>130700</c:v>
                </c:pt>
                <c:pt idx="445">
                  <c:v>130705</c:v>
                </c:pt>
                <c:pt idx="446">
                  <c:v>130710</c:v>
                </c:pt>
                <c:pt idx="447">
                  <c:v>130715</c:v>
                </c:pt>
                <c:pt idx="448">
                  <c:v>130720</c:v>
                </c:pt>
                <c:pt idx="449">
                  <c:v>130725</c:v>
                </c:pt>
                <c:pt idx="450">
                  <c:v>130730</c:v>
                </c:pt>
                <c:pt idx="451">
                  <c:v>130735</c:v>
                </c:pt>
                <c:pt idx="452">
                  <c:v>130740</c:v>
                </c:pt>
                <c:pt idx="453">
                  <c:v>130745</c:v>
                </c:pt>
                <c:pt idx="454">
                  <c:v>130750</c:v>
                </c:pt>
                <c:pt idx="455">
                  <c:v>130755</c:v>
                </c:pt>
                <c:pt idx="456">
                  <c:v>130800</c:v>
                </c:pt>
                <c:pt idx="457">
                  <c:v>130805</c:v>
                </c:pt>
                <c:pt idx="458">
                  <c:v>130810</c:v>
                </c:pt>
                <c:pt idx="459">
                  <c:v>130815</c:v>
                </c:pt>
                <c:pt idx="460">
                  <c:v>130820</c:v>
                </c:pt>
                <c:pt idx="461">
                  <c:v>130825</c:v>
                </c:pt>
                <c:pt idx="462">
                  <c:v>130830</c:v>
                </c:pt>
                <c:pt idx="463">
                  <c:v>130835</c:v>
                </c:pt>
                <c:pt idx="464">
                  <c:v>130840</c:v>
                </c:pt>
                <c:pt idx="465">
                  <c:v>130845</c:v>
                </c:pt>
                <c:pt idx="466">
                  <c:v>130850</c:v>
                </c:pt>
                <c:pt idx="467">
                  <c:v>130855</c:v>
                </c:pt>
                <c:pt idx="468">
                  <c:v>130900</c:v>
                </c:pt>
                <c:pt idx="469">
                  <c:v>130905</c:v>
                </c:pt>
                <c:pt idx="470">
                  <c:v>130910</c:v>
                </c:pt>
                <c:pt idx="471">
                  <c:v>130915</c:v>
                </c:pt>
                <c:pt idx="472">
                  <c:v>130920</c:v>
                </c:pt>
                <c:pt idx="473">
                  <c:v>130925</c:v>
                </c:pt>
                <c:pt idx="474">
                  <c:v>130930</c:v>
                </c:pt>
                <c:pt idx="475">
                  <c:v>130935</c:v>
                </c:pt>
                <c:pt idx="476">
                  <c:v>130940</c:v>
                </c:pt>
                <c:pt idx="477">
                  <c:v>130945</c:v>
                </c:pt>
                <c:pt idx="478">
                  <c:v>130950</c:v>
                </c:pt>
                <c:pt idx="479">
                  <c:v>130955</c:v>
                </c:pt>
                <c:pt idx="480">
                  <c:v>131000</c:v>
                </c:pt>
                <c:pt idx="481">
                  <c:v>131005</c:v>
                </c:pt>
                <c:pt idx="482">
                  <c:v>131010</c:v>
                </c:pt>
                <c:pt idx="483">
                  <c:v>131015</c:v>
                </c:pt>
                <c:pt idx="484">
                  <c:v>131020</c:v>
                </c:pt>
                <c:pt idx="485">
                  <c:v>131025</c:v>
                </c:pt>
                <c:pt idx="486">
                  <c:v>131030</c:v>
                </c:pt>
                <c:pt idx="487">
                  <c:v>131035</c:v>
                </c:pt>
                <c:pt idx="488">
                  <c:v>131040</c:v>
                </c:pt>
                <c:pt idx="489">
                  <c:v>131045</c:v>
                </c:pt>
                <c:pt idx="490">
                  <c:v>131050</c:v>
                </c:pt>
                <c:pt idx="491">
                  <c:v>131055</c:v>
                </c:pt>
                <c:pt idx="492">
                  <c:v>131100</c:v>
                </c:pt>
                <c:pt idx="493">
                  <c:v>131105</c:v>
                </c:pt>
                <c:pt idx="494">
                  <c:v>131110</c:v>
                </c:pt>
                <c:pt idx="495">
                  <c:v>131115</c:v>
                </c:pt>
                <c:pt idx="496">
                  <c:v>131120</c:v>
                </c:pt>
                <c:pt idx="497">
                  <c:v>131125</c:v>
                </c:pt>
                <c:pt idx="498">
                  <c:v>131130</c:v>
                </c:pt>
                <c:pt idx="499">
                  <c:v>131135</c:v>
                </c:pt>
                <c:pt idx="500">
                  <c:v>131140</c:v>
                </c:pt>
                <c:pt idx="501">
                  <c:v>131145</c:v>
                </c:pt>
                <c:pt idx="502">
                  <c:v>131150</c:v>
                </c:pt>
                <c:pt idx="503">
                  <c:v>131155</c:v>
                </c:pt>
                <c:pt idx="504">
                  <c:v>131200</c:v>
                </c:pt>
                <c:pt idx="505">
                  <c:v>131205</c:v>
                </c:pt>
                <c:pt idx="506">
                  <c:v>131210</c:v>
                </c:pt>
                <c:pt idx="507">
                  <c:v>131215</c:v>
                </c:pt>
                <c:pt idx="508">
                  <c:v>131220</c:v>
                </c:pt>
                <c:pt idx="509">
                  <c:v>131225</c:v>
                </c:pt>
                <c:pt idx="510">
                  <c:v>131230</c:v>
                </c:pt>
                <c:pt idx="511">
                  <c:v>131235</c:v>
                </c:pt>
                <c:pt idx="512">
                  <c:v>131240</c:v>
                </c:pt>
                <c:pt idx="513">
                  <c:v>131245</c:v>
                </c:pt>
                <c:pt idx="514">
                  <c:v>131250</c:v>
                </c:pt>
                <c:pt idx="515">
                  <c:v>131255</c:v>
                </c:pt>
                <c:pt idx="516">
                  <c:v>131300</c:v>
                </c:pt>
                <c:pt idx="517">
                  <c:v>131305</c:v>
                </c:pt>
                <c:pt idx="518">
                  <c:v>131310</c:v>
                </c:pt>
                <c:pt idx="519">
                  <c:v>131315</c:v>
                </c:pt>
                <c:pt idx="520">
                  <c:v>131320</c:v>
                </c:pt>
                <c:pt idx="521">
                  <c:v>131325</c:v>
                </c:pt>
                <c:pt idx="522">
                  <c:v>131330</c:v>
                </c:pt>
                <c:pt idx="523">
                  <c:v>131335</c:v>
                </c:pt>
                <c:pt idx="524">
                  <c:v>131340</c:v>
                </c:pt>
                <c:pt idx="525">
                  <c:v>131345</c:v>
                </c:pt>
                <c:pt idx="526">
                  <c:v>131350</c:v>
                </c:pt>
                <c:pt idx="527">
                  <c:v>131355</c:v>
                </c:pt>
                <c:pt idx="528">
                  <c:v>131400</c:v>
                </c:pt>
                <c:pt idx="529">
                  <c:v>131405</c:v>
                </c:pt>
                <c:pt idx="530">
                  <c:v>131410</c:v>
                </c:pt>
                <c:pt idx="531">
                  <c:v>131415</c:v>
                </c:pt>
                <c:pt idx="532">
                  <c:v>131420</c:v>
                </c:pt>
                <c:pt idx="533">
                  <c:v>131425</c:v>
                </c:pt>
                <c:pt idx="534">
                  <c:v>131430</c:v>
                </c:pt>
                <c:pt idx="535">
                  <c:v>131435</c:v>
                </c:pt>
                <c:pt idx="536">
                  <c:v>131440</c:v>
                </c:pt>
                <c:pt idx="537">
                  <c:v>131445</c:v>
                </c:pt>
                <c:pt idx="538">
                  <c:v>131450</c:v>
                </c:pt>
                <c:pt idx="539">
                  <c:v>131455</c:v>
                </c:pt>
                <c:pt idx="540">
                  <c:v>131500</c:v>
                </c:pt>
                <c:pt idx="541">
                  <c:v>131505</c:v>
                </c:pt>
                <c:pt idx="542">
                  <c:v>131510</c:v>
                </c:pt>
                <c:pt idx="543">
                  <c:v>131515</c:v>
                </c:pt>
                <c:pt idx="544">
                  <c:v>131520</c:v>
                </c:pt>
                <c:pt idx="545">
                  <c:v>131525</c:v>
                </c:pt>
                <c:pt idx="546">
                  <c:v>131530</c:v>
                </c:pt>
                <c:pt idx="547">
                  <c:v>131535</c:v>
                </c:pt>
                <c:pt idx="548">
                  <c:v>131540</c:v>
                </c:pt>
                <c:pt idx="549">
                  <c:v>131545</c:v>
                </c:pt>
                <c:pt idx="550">
                  <c:v>131550</c:v>
                </c:pt>
                <c:pt idx="551">
                  <c:v>131555</c:v>
                </c:pt>
                <c:pt idx="552">
                  <c:v>131600</c:v>
                </c:pt>
                <c:pt idx="553">
                  <c:v>131605</c:v>
                </c:pt>
                <c:pt idx="554">
                  <c:v>131610</c:v>
                </c:pt>
                <c:pt idx="555">
                  <c:v>131615</c:v>
                </c:pt>
                <c:pt idx="556">
                  <c:v>131620</c:v>
                </c:pt>
                <c:pt idx="557">
                  <c:v>131625</c:v>
                </c:pt>
                <c:pt idx="558">
                  <c:v>131630</c:v>
                </c:pt>
                <c:pt idx="559">
                  <c:v>131635</c:v>
                </c:pt>
                <c:pt idx="560">
                  <c:v>131640</c:v>
                </c:pt>
                <c:pt idx="561">
                  <c:v>131645</c:v>
                </c:pt>
                <c:pt idx="562">
                  <c:v>131650</c:v>
                </c:pt>
                <c:pt idx="563">
                  <c:v>131655</c:v>
                </c:pt>
                <c:pt idx="564">
                  <c:v>131700</c:v>
                </c:pt>
                <c:pt idx="565">
                  <c:v>131705</c:v>
                </c:pt>
                <c:pt idx="566">
                  <c:v>131710</c:v>
                </c:pt>
                <c:pt idx="567">
                  <c:v>131715</c:v>
                </c:pt>
                <c:pt idx="568">
                  <c:v>131720</c:v>
                </c:pt>
                <c:pt idx="569">
                  <c:v>131725</c:v>
                </c:pt>
                <c:pt idx="570">
                  <c:v>131730</c:v>
                </c:pt>
                <c:pt idx="571">
                  <c:v>131735</c:v>
                </c:pt>
                <c:pt idx="572">
                  <c:v>131740</c:v>
                </c:pt>
                <c:pt idx="573">
                  <c:v>131745</c:v>
                </c:pt>
                <c:pt idx="574">
                  <c:v>131750</c:v>
                </c:pt>
                <c:pt idx="575">
                  <c:v>131755</c:v>
                </c:pt>
                <c:pt idx="576">
                  <c:v>131800</c:v>
                </c:pt>
                <c:pt idx="577">
                  <c:v>131805</c:v>
                </c:pt>
                <c:pt idx="578">
                  <c:v>131810</c:v>
                </c:pt>
                <c:pt idx="579">
                  <c:v>131815</c:v>
                </c:pt>
                <c:pt idx="580">
                  <c:v>131820</c:v>
                </c:pt>
                <c:pt idx="581">
                  <c:v>131825</c:v>
                </c:pt>
                <c:pt idx="582">
                  <c:v>131830</c:v>
                </c:pt>
                <c:pt idx="583">
                  <c:v>131835</c:v>
                </c:pt>
                <c:pt idx="584">
                  <c:v>131840</c:v>
                </c:pt>
                <c:pt idx="585">
                  <c:v>131845</c:v>
                </c:pt>
                <c:pt idx="586">
                  <c:v>131850</c:v>
                </c:pt>
                <c:pt idx="587">
                  <c:v>131855</c:v>
                </c:pt>
                <c:pt idx="588">
                  <c:v>131900</c:v>
                </c:pt>
                <c:pt idx="589">
                  <c:v>131905</c:v>
                </c:pt>
                <c:pt idx="590">
                  <c:v>131910</c:v>
                </c:pt>
                <c:pt idx="591">
                  <c:v>131915</c:v>
                </c:pt>
                <c:pt idx="592">
                  <c:v>131920</c:v>
                </c:pt>
                <c:pt idx="593">
                  <c:v>131925</c:v>
                </c:pt>
                <c:pt idx="594">
                  <c:v>131930</c:v>
                </c:pt>
                <c:pt idx="595">
                  <c:v>131935</c:v>
                </c:pt>
                <c:pt idx="596">
                  <c:v>131940</c:v>
                </c:pt>
                <c:pt idx="597">
                  <c:v>131945</c:v>
                </c:pt>
                <c:pt idx="598">
                  <c:v>131950</c:v>
                </c:pt>
                <c:pt idx="599">
                  <c:v>131955</c:v>
                </c:pt>
                <c:pt idx="600">
                  <c:v>132000</c:v>
                </c:pt>
                <c:pt idx="601">
                  <c:v>132005</c:v>
                </c:pt>
                <c:pt idx="602">
                  <c:v>132010</c:v>
                </c:pt>
                <c:pt idx="603">
                  <c:v>132015</c:v>
                </c:pt>
                <c:pt idx="604">
                  <c:v>132020</c:v>
                </c:pt>
                <c:pt idx="605">
                  <c:v>132025</c:v>
                </c:pt>
                <c:pt idx="606">
                  <c:v>132030</c:v>
                </c:pt>
                <c:pt idx="607">
                  <c:v>132035</c:v>
                </c:pt>
                <c:pt idx="608">
                  <c:v>132040</c:v>
                </c:pt>
                <c:pt idx="609">
                  <c:v>132045</c:v>
                </c:pt>
                <c:pt idx="610">
                  <c:v>132050</c:v>
                </c:pt>
                <c:pt idx="611">
                  <c:v>132055</c:v>
                </c:pt>
                <c:pt idx="612">
                  <c:v>132100</c:v>
                </c:pt>
                <c:pt idx="613">
                  <c:v>132105</c:v>
                </c:pt>
                <c:pt idx="614">
                  <c:v>132110</c:v>
                </c:pt>
                <c:pt idx="615">
                  <c:v>132115</c:v>
                </c:pt>
                <c:pt idx="616">
                  <c:v>132120</c:v>
                </c:pt>
                <c:pt idx="617">
                  <c:v>132125</c:v>
                </c:pt>
                <c:pt idx="618">
                  <c:v>132130</c:v>
                </c:pt>
                <c:pt idx="619">
                  <c:v>132135</c:v>
                </c:pt>
                <c:pt idx="620">
                  <c:v>132140</c:v>
                </c:pt>
                <c:pt idx="621">
                  <c:v>132145</c:v>
                </c:pt>
                <c:pt idx="622">
                  <c:v>132150</c:v>
                </c:pt>
                <c:pt idx="623">
                  <c:v>132155</c:v>
                </c:pt>
                <c:pt idx="624">
                  <c:v>132200</c:v>
                </c:pt>
                <c:pt idx="625">
                  <c:v>132205</c:v>
                </c:pt>
                <c:pt idx="626">
                  <c:v>132210</c:v>
                </c:pt>
                <c:pt idx="627">
                  <c:v>132215</c:v>
                </c:pt>
                <c:pt idx="628">
                  <c:v>132220</c:v>
                </c:pt>
                <c:pt idx="629">
                  <c:v>132225</c:v>
                </c:pt>
                <c:pt idx="630">
                  <c:v>132230</c:v>
                </c:pt>
                <c:pt idx="631">
                  <c:v>132235</c:v>
                </c:pt>
                <c:pt idx="632">
                  <c:v>132240</c:v>
                </c:pt>
                <c:pt idx="633">
                  <c:v>132245</c:v>
                </c:pt>
                <c:pt idx="634">
                  <c:v>132250</c:v>
                </c:pt>
                <c:pt idx="635">
                  <c:v>132255</c:v>
                </c:pt>
                <c:pt idx="636">
                  <c:v>132300</c:v>
                </c:pt>
                <c:pt idx="637">
                  <c:v>132305</c:v>
                </c:pt>
                <c:pt idx="638">
                  <c:v>132310</c:v>
                </c:pt>
                <c:pt idx="639">
                  <c:v>132315</c:v>
                </c:pt>
                <c:pt idx="640">
                  <c:v>132320</c:v>
                </c:pt>
                <c:pt idx="641">
                  <c:v>132325</c:v>
                </c:pt>
                <c:pt idx="642">
                  <c:v>132330</c:v>
                </c:pt>
                <c:pt idx="643">
                  <c:v>132335</c:v>
                </c:pt>
                <c:pt idx="644">
                  <c:v>132340</c:v>
                </c:pt>
                <c:pt idx="645">
                  <c:v>132345</c:v>
                </c:pt>
                <c:pt idx="646">
                  <c:v>132350</c:v>
                </c:pt>
                <c:pt idx="647">
                  <c:v>132355</c:v>
                </c:pt>
                <c:pt idx="648">
                  <c:v>132400</c:v>
                </c:pt>
                <c:pt idx="649">
                  <c:v>132405</c:v>
                </c:pt>
                <c:pt idx="650">
                  <c:v>132410</c:v>
                </c:pt>
                <c:pt idx="651">
                  <c:v>132415</c:v>
                </c:pt>
                <c:pt idx="652">
                  <c:v>132420</c:v>
                </c:pt>
                <c:pt idx="653">
                  <c:v>132425</c:v>
                </c:pt>
                <c:pt idx="654">
                  <c:v>132430</c:v>
                </c:pt>
                <c:pt idx="655">
                  <c:v>132435</c:v>
                </c:pt>
                <c:pt idx="656">
                  <c:v>132440</c:v>
                </c:pt>
                <c:pt idx="657">
                  <c:v>132445</c:v>
                </c:pt>
                <c:pt idx="658">
                  <c:v>132450</c:v>
                </c:pt>
                <c:pt idx="659">
                  <c:v>132455</c:v>
                </c:pt>
                <c:pt idx="660">
                  <c:v>133100</c:v>
                </c:pt>
              </c:numCache>
            </c:numRef>
          </c:cat>
          <c:val>
            <c:numRef>
              <c:f>結算估價!$E$7:$E$666</c:f>
              <c:numCache>
                <c:formatCode>General</c:formatCode>
                <c:ptCount val="660"/>
                <c:pt idx="0">
                  <c:v>2395</c:v>
                </c:pt>
                <c:pt idx="1">
                  <c:v>2395</c:v>
                </c:pt>
                <c:pt idx="2">
                  <c:v>2395</c:v>
                </c:pt>
                <c:pt idx="3">
                  <c:v>2395</c:v>
                </c:pt>
                <c:pt idx="4">
                  <c:v>2395</c:v>
                </c:pt>
                <c:pt idx="5">
                  <c:v>2395</c:v>
                </c:pt>
                <c:pt idx="6">
                  <c:v>2395</c:v>
                </c:pt>
                <c:pt idx="7">
                  <c:v>2390</c:v>
                </c:pt>
                <c:pt idx="8">
                  <c:v>2390</c:v>
                </c:pt>
                <c:pt idx="9">
                  <c:v>2390</c:v>
                </c:pt>
                <c:pt idx="10">
                  <c:v>2385</c:v>
                </c:pt>
                <c:pt idx="11">
                  <c:v>2385</c:v>
                </c:pt>
                <c:pt idx="12">
                  <c:v>2385</c:v>
                </c:pt>
                <c:pt idx="13">
                  <c:v>2385</c:v>
                </c:pt>
                <c:pt idx="14">
                  <c:v>2385</c:v>
                </c:pt>
                <c:pt idx="15">
                  <c:v>2385</c:v>
                </c:pt>
                <c:pt idx="16">
                  <c:v>2390</c:v>
                </c:pt>
                <c:pt idx="17">
                  <c:v>2390</c:v>
                </c:pt>
                <c:pt idx="18">
                  <c:v>2390</c:v>
                </c:pt>
                <c:pt idx="19">
                  <c:v>2390</c:v>
                </c:pt>
                <c:pt idx="20">
                  <c:v>2390</c:v>
                </c:pt>
                <c:pt idx="21">
                  <c:v>2390</c:v>
                </c:pt>
                <c:pt idx="22">
                  <c:v>2390</c:v>
                </c:pt>
                <c:pt idx="23">
                  <c:v>2390</c:v>
                </c:pt>
                <c:pt idx="24">
                  <c:v>2390</c:v>
                </c:pt>
                <c:pt idx="25">
                  <c:v>2390</c:v>
                </c:pt>
                <c:pt idx="26">
                  <c:v>2390</c:v>
                </c:pt>
                <c:pt idx="27">
                  <c:v>2390</c:v>
                </c:pt>
                <c:pt idx="28">
                  <c:v>2390</c:v>
                </c:pt>
                <c:pt idx="29">
                  <c:v>2390</c:v>
                </c:pt>
                <c:pt idx="30">
                  <c:v>2390</c:v>
                </c:pt>
                <c:pt idx="31">
                  <c:v>2390</c:v>
                </c:pt>
                <c:pt idx="32">
                  <c:v>2390</c:v>
                </c:pt>
                <c:pt idx="33">
                  <c:v>2390</c:v>
                </c:pt>
                <c:pt idx="34">
                  <c:v>2390</c:v>
                </c:pt>
                <c:pt idx="35">
                  <c:v>2390</c:v>
                </c:pt>
                <c:pt idx="36">
                  <c:v>2390</c:v>
                </c:pt>
                <c:pt idx="37">
                  <c:v>2390</c:v>
                </c:pt>
                <c:pt idx="38">
                  <c:v>2390</c:v>
                </c:pt>
                <c:pt idx="39">
                  <c:v>2390</c:v>
                </c:pt>
                <c:pt idx="40">
                  <c:v>2390</c:v>
                </c:pt>
                <c:pt idx="41">
                  <c:v>2390</c:v>
                </c:pt>
                <c:pt idx="42">
                  <c:v>2390</c:v>
                </c:pt>
                <c:pt idx="43">
                  <c:v>2385</c:v>
                </c:pt>
                <c:pt idx="44">
                  <c:v>2385</c:v>
                </c:pt>
                <c:pt idx="45">
                  <c:v>2390</c:v>
                </c:pt>
                <c:pt idx="46">
                  <c:v>2390</c:v>
                </c:pt>
                <c:pt idx="47">
                  <c:v>2390</c:v>
                </c:pt>
                <c:pt idx="48">
                  <c:v>2390</c:v>
                </c:pt>
                <c:pt idx="49">
                  <c:v>2390</c:v>
                </c:pt>
                <c:pt idx="50">
                  <c:v>2390</c:v>
                </c:pt>
                <c:pt idx="51">
                  <c:v>2390</c:v>
                </c:pt>
                <c:pt idx="52">
                  <c:v>2390</c:v>
                </c:pt>
                <c:pt idx="53">
                  <c:v>2390</c:v>
                </c:pt>
                <c:pt idx="54">
                  <c:v>2390</c:v>
                </c:pt>
                <c:pt idx="55">
                  <c:v>2390</c:v>
                </c:pt>
                <c:pt idx="56">
                  <c:v>2385</c:v>
                </c:pt>
                <c:pt idx="57">
                  <c:v>2390</c:v>
                </c:pt>
                <c:pt idx="58">
                  <c:v>2390</c:v>
                </c:pt>
                <c:pt idx="59">
                  <c:v>2390</c:v>
                </c:pt>
                <c:pt idx="60">
                  <c:v>2390</c:v>
                </c:pt>
                <c:pt idx="61">
                  <c:v>2390</c:v>
                </c:pt>
                <c:pt idx="62">
                  <c:v>2390</c:v>
                </c:pt>
                <c:pt idx="63">
                  <c:v>2390</c:v>
                </c:pt>
                <c:pt idx="64">
                  <c:v>2390</c:v>
                </c:pt>
                <c:pt idx="65">
                  <c:v>2390</c:v>
                </c:pt>
                <c:pt idx="66">
                  <c:v>2390</c:v>
                </c:pt>
                <c:pt idx="67">
                  <c:v>2390</c:v>
                </c:pt>
                <c:pt idx="68">
                  <c:v>2380</c:v>
                </c:pt>
                <c:pt idx="69">
                  <c:v>2380</c:v>
                </c:pt>
                <c:pt idx="70">
                  <c:v>2380</c:v>
                </c:pt>
                <c:pt idx="71">
                  <c:v>2385</c:v>
                </c:pt>
                <c:pt idx="72">
                  <c:v>2385</c:v>
                </c:pt>
                <c:pt idx="73">
                  <c:v>2385</c:v>
                </c:pt>
                <c:pt idx="74">
                  <c:v>2385</c:v>
                </c:pt>
                <c:pt idx="75">
                  <c:v>2385</c:v>
                </c:pt>
                <c:pt idx="76">
                  <c:v>2385</c:v>
                </c:pt>
                <c:pt idx="77">
                  <c:v>2385</c:v>
                </c:pt>
                <c:pt idx="78">
                  <c:v>2385</c:v>
                </c:pt>
                <c:pt idx="79">
                  <c:v>2385</c:v>
                </c:pt>
                <c:pt idx="80">
                  <c:v>2380</c:v>
                </c:pt>
                <c:pt idx="81">
                  <c:v>2380</c:v>
                </c:pt>
                <c:pt idx="82">
                  <c:v>2380</c:v>
                </c:pt>
                <c:pt idx="83">
                  <c:v>2380</c:v>
                </c:pt>
                <c:pt idx="84">
                  <c:v>2380</c:v>
                </c:pt>
                <c:pt idx="85">
                  <c:v>2380</c:v>
                </c:pt>
                <c:pt idx="86">
                  <c:v>2380</c:v>
                </c:pt>
                <c:pt idx="87">
                  <c:v>2380</c:v>
                </c:pt>
                <c:pt idx="88">
                  <c:v>2380</c:v>
                </c:pt>
                <c:pt idx="89">
                  <c:v>2380</c:v>
                </c:pt>
                <c:pt idx="90">
                  <c:v>2380</c:v>
                </c:pt>
                <c:pt idx="91">
                  <c:v>2380</c:v>
                </c:pt>
                <c:pt idx="92">
                  <c:v>2380</c:v>
                </c:pt>
                <c:pt idx="93">
                  <c:v>2380</c:v>
                </c:pt>
                <c:pt idx="94">
                  <c:v>2380</c:v>
                </c:pt>
                <c:pt idx="95">
                  <c:v>2380</c:v>
                </c:pt>
                <c:pt idx="96">
                  <c:v>2380</c:v>
                </c:pt>
                <c:pt idx="97">
                  <c:v>2380</c:v>
                </c:pt>
                <c:pt idx="98">
                  <c:v>2380</c:v>
                </c:pt>
                <c:pt idx="99">
                  <c:v>2380</c:v>
                </c:pt>
                <c:pt idx="100">
                  <c:v>2375</c:v>
                </c:pt>
                <c:pt idx="101">
                  <c:v>2380</c:v>
                </c:pt>
                <c:pt idx="102">
                  <c:v>2380</c:v>
                </c:pt>
                <c:pt idx="103">
                  <c:v>2380</c:v>
                </c:pt>
                <c:pt idx="104">
                  <c:v>2380</c:v>
                </c:pt>
                <c:pt idx="105">
                  <c:v>2380</c:v>
                </c:pt>
                <c:pt idx="106">
                  <c:v>2380</c:v>
                </c:pt>
                <c:pt idx="107">
                  <c:v>2380</c:v>
                </c:pt>
                <c:pt idx="108">
                  <c:v>2380</c:v>
                </c:pt>
                <c:pt idx="109">
                  <c:v>2380</c:v>
                </c:pt>
                <c:pt idx="110">
                  <c:v>2380</c:v>
                </c:pt>
                <c:pt idx="111">
                  <c:v>2380</c:v>
                </c:pt>
                <c:pt idx="112">
                  <c:v>2380</c:v>
                </c:pt>
                <c:pt idx="113">
                  <c:v>2380</c:v>
                </c:pt>
                <c:pt idx="114">
                  <c:v>2380</c:v>
                </c:pt>
                <c:pt idx="115">
                  <c:v>2380</c:v>
                </c:pt>
                <c:pt idx="116">
                  <c:v>2380</c:v>
                </c:pt>
                <c:pt idx="117">
                  <c:v>2380</c:v>
                </c:pt>
                <c:pt idx="118">
                  <c:v>2375</c:v>
                </c:pt>
                <c:pt idx="119">
                  <c:v>2380</c:v>
                </c:pt>
                <c:pt idx="120">
                  <c:v>2380</c:v>
                </c:pt>
                <c:pt idx="121">
                  <c:v>2380</c:v>
                </c:pt>
                <c:pt idx="122">
                  <c:v>2380</c:v>
                </c:pt>
                <c:pt idx="123">
                  <c:v>2380</c:v>
                </c:pt>
                <c:pt idx="124">
                  <c:v>2380</c:v>
                </c:pt>
                <c:pt idx="125">
                  <c:v>2380</c:v>
                </c:pt>
                <c:pt idx="126">
                  <c:v>2380</c:v>
                </c:pt>
                <c:pt idx="127">
                  <c:v>2380</c:v>
                </c:pt>
                <c:pt idx="128">
                  <c:v>2380</c:v>
                </c:pt>
                <c:pt idx="129">
                  <c:v>2380</c:v>
                </c:pt>
                <c:pt idx="130">
                  <c:v>2375</c:v>
                </c:pt>
                <c:pt idx="131">
                  <c:v>2375</c:v>
                </c:pt>
                <c:pt idx="132">
                  <c:v>2375</c:v>
                </c:pt>
                <c:pt idx="133">
                  <c:v>2375</c:v>
                </c:pt>
                <c:pt idx="134">
                  <c:v>2375</c:v>
                </c:pt>
                <c:pt idx="135">
                  <c:v>2375</c:v>
                </c:pt>
                <c:pt idx="136">
                  <c:v>2375</c:v>
                </c:pt>
                <c:pt idx="137">
                  <c:v>2375</c:v>
                </c:pt>
                <c:pt idx="138">
                  <c:v>2375</c:v>
                </c:pt>
                <c:pt idx="139">
                  <c:v>2375</c:v>
                </c:pt>
                <c:pt idx="140">
                  <c:v>2375</c:v>
                </c:pt>
                <c:pt idx="141">
                  <c:v>2375</c:v>
                </c:pt>
                <c:pt idx="142">
                  <c:v>2375</c:v>
                </c:pt>
                <c:pt idx="143">
                  <c:v>2375</c:v>
                </c:pt>
                <c:pt idx="144">
                  <c:v>2380</c:v>
                </c:pt>
                <c:pt idx="145">
                  <c:v>2380</c:v>
                </c:pt>
                <c:pt idx="146">
                  <c:v>2380</c:v>
                </c:pt>
                <c:pt idx="147">
                  <c:v>2380</c:v>
                </c:pt>
                <c:pt idx="148">
                  <c:v>2380</c:v>
                </c:pt>
                <c:pt idx="149">
                  <c:v>2380</c:v>
                </c:pt>
                <c:pt idx="150">
                  <c:v>2380</c:v>
                </c:pt>
                <c:pt idx="151">
                  <c:v>2380</c:v>
                </c:pt>
                <c:pt idx="152">
                  <c:v>2380</c:v>
                </c:pt>
                <c:pt idx="153">
                  <c:v>2380</c:v>
                </c:pt>
                <c:pt idx="154">
                  <c:v>2380</c:v>
                </c:pt>
                <c:pt idx="155">
                  <c:v>2380</c:v>
                </c:pt>
                <c:pt idx="156">
                  <c:v>2380</c:v>
                </c:pt>
                <c:pt idx="157">
                  <c:v>2380</c:v>
                </c:pt>
                <c:pt idx="158">
                  <c:v>2380</c:v>
                </c:pt>
                <c:pt idx="159">
                  <c:v>2380</c:v>
                </c:pt>
                <c:pt idx="160">
                  <c:v>2380</c:v>
                </c:pt>
                <c:pt idx="161">
                  <c:v>2380</c:v>
                </c:pt>
                <c:pt idx="162">
                  <c:v>2380</c:v>
                </c:pt>
                <c:pt idx="163">
                  <c:v>2380</c:v>
                </c:pt>
                <c:pt idx="164">
                  <c:v>2380</c:v>
                </c:pt>
                <c:pt idx="165">
                  <c:v>2380</c:v>
                </c:pt>
                <c:pt idx="166">
                  <c:v>2380</c:v>
                </c:pt>
                <c:pt idx="167">
                  <c:v>2380</c:v>
                </c:pt>
                <c:pt idx="168">
                  <c:v>2380</c:v>
                </c:pt>
                <c:pt idx="169">
                  <c:v>2380</c:v>
                </c:pt>
                <c:pt idx="170">
                  <c:v>2380</c:v>
                </c:pt>
                <c:pt idx="171">
                  <c:v>2380</c:v>
                </c:pt>
                <c:pt idx="172">
                  <c:v>2380</c:v>
                </c:pt>
                <c:pt idx="173">
                  <c:v>2380</c:v>
                </c:pt>
                <c:pt idx="174">
                  <c:v>2380</c:v>
                </c:pt>
                <c:pt idx="175">
                  <c:v>2380</c:v>
                </c:pt>
                <c:pt idx="176">
                  <c:v>2380</c:v>
                </c:pt>
                <c:pt idx="177">
                  <c:v>2380</c:v>
                </c:pt>
                <c:pt idx="178">
                  <c:v>2380</c:v>
                </c:pt>
                <c:pt idx="179">
                  <c:v>2380</c:v>
                </c:pt>
                <c:pt idx="180">
                  <c:v>2380</c:v>
                </c:pt>
                <c:pt idx="181">
                  <c:v>2380</c:v>
                </c:pt>
                <c:pt idx="182">
                  <c:v>2380</c:v>
                </c:pt>
                <c:pt idx="183">
                  <c:v>2380</c:v>
                </c:pt>
                <c:pt idx="184">
                  <c:v>2380</c:v>
                </c:pt>
                <c:pt idx="185">
                  <c:v>2380</c:v>
                </c:pt>
                <c:pt idx="186">
                  <c:v>2380</c:v>
                </c:pt>
                <c:pt idx="187">
                  <c:v>2380</c:v>
                </c:pt>
                <c:pt idx="188">
                  <c:v>2380</c:v>
                </c:pt>
                <c:pt idx="189">
                  <c:v>2380</c:v>
                </c:pt>
                <c:pt idx="190">
                  <c:v>2380</c:v>
                </c:pt>
                <c:pt idx="191">
                  <c:v>2380</c:v>
                </c:pt>
                <c:pt idx="192">
                  <c:v>2380</c:v>
                </c:pt>
                <c:pt idx="193">
                  <c:v>2375</c:v>
                </c:pt>
                <c:pt idx="194">
                  <c:v>2375</c:v>
                </c:pt>
                <c:pt idx="195">
                  <c:v>2375</c:v>
                </c:pt>
                <c:pt idx="196">
                  <c:v>2375</c:v>
                </c:pt>
                <c:pt idx="197">
                  <c:v>2375</c:v>
                </c:pt>
                <c:pt idx="198">
                  <c:v>2375</c:v>
                </c:pt>
                <c:pt idx="199">
                  <c:v>2375</c:v>
                </c:pt>
                <c:pt idx="200">
                  <c:v>2375</c:v>
                </c:pt>
                <c:pt idx="201">
                  <c:v>2375</c:v>
                </c:pt>
                <c:pt idx="202">
                  <c:v>2375</c:v>
                </c:pt>
                <c:pt idx="203">
                  <c:v>2375</c:v>
                </c:pt>
                <c:pt idx="204">
                  <c:v>2375</c:v>
                </c:pt>
                <c:pt idx="205">
                  <c:v>2375</c:v>
                </c:pt>
                <c:pt idx="206">
                  <c:v>2375</c:v>
                </c:pt>
                <c:pt idx="207">
                  <c:v>2375</c:v>
                </c:pt>
                <c:pt idx="208">
                  <c:v>2375</c:v>
                </c:pt>
                <c:pt idx="209">
                  <c:v>2375</c:v>
                </c:pt>
                <c:pt idx="210">
                  <c:v>2375</c:v>
                </c:pt>
                <c:pt idx="211">
                  <c:v>2375</c:v>
                </c:pt>
                <c:pt idx="212">
                  <c:v>2375</c:v>
                </c:pt>
                <c:pt idx="213">
                  <c:v>2375</c:v>
                </c:pt>
                <c:pt idx="214">
                  <c:v>2375</c:v>
                </c:pt>
                <c:pt idx="215">
                  <c:v>2375</c:v>
                </c:pt>
                <c:pt idx="216">
                  <c:v>2375</c:v>
                </c:pt>
                <c:pt idx="217">
                  <c:v>2375</c:v>
                </c:pt>
                <c:pt idx="218">
                  <c:v>2375</c:v>
                </c:pt>
                <c:pt idx="219">
                  <c:v>2375</c:v>
                </c:pt>
                <c:pt idx="220">
                  <c:v>2375</c:v>
                </c:pt>
                <c:pt idx="221">
                  <c:v>2375</c:v>
                </c:pt>
                <c:pt idx="222">
                  <c:v>2375</c:v>
                </c:pt>
                <c:pt idx="223">
                  <c:v>2380</c:v>
                </c:pt>
                <c:pt idx="224">
                  <c:v>2380</c:v>
                </c:pt>
                <c:pt idx="225">
                  <c:v>2380</c:v>
                </c:pt>
                <c:pt idx="226">
                  <c:v>2380</c:v>
                </c:pt>
                <c:pt idx="227">
                  <c:v>2375</c:v>
                </c:pt>
                <c:pt idx="228">
                  <c:v>2375</c:v>
                </c:pt>
                <c:pt idx="229">
                  <c:v>2375</c:v>
                </c:pt>
                <c:pt idx="230">
                  <c:v>2375</c:v>
                </c:pt>
                <c:pt idx="231">
                  <c:v>2375</c:v>
                </c:pt>
                <c:pt idx="232">
                  <c:v>2375</c:v>
                </c:pt>
                <c:pt idx="233">
                  <c:v>2375</c:v>
                </c:pt>
                <c:pt idx="234">
                  <c:v>2375</c:v>
                </c:pt>
                <c:pt idx="235">
                  <c:v>2375</c:v>
                </c:pt>
                <c:pt idx="236">
                  <c:v>2375</c:v>
                </c:pt>
                <c:pt idx="237">
                  <c:v>2375</c:v>
                </c:pt>
                <c:pt idx="238">
                  <c:v>2375</c:v>
                </c:pt>
                <c:pt idx="239">
                  <c:v>2375</c:v>
                </c:pt>
                <c:pt idx="240">
                  <c:v>2370</c:v>
                </c:pt>
                <c:pt idx="241">
                  <c:v>2370</c:v>
                </c:pt>
                <c:pt idx="242">
                  <c:v>2375</c:v>
                </c:pt>
                <c:pt idx="243">
                  <c:v>2375</c:v>
                </c:pt>
                <c:pt idx="244">
                  <c:v>2375</c:v>
                </c:pt>
                <c:pt idx="245">
                  <c:v>2375</c:v>
                </c:pt>
                <c:pt idx="246">
                  <c:v>2375</c:v>
                </c:pt>
                <c:pt idx="247">
                  <c:v>2375</c:v>
                </c:pt>
                <c:pt idx="248">
                  <c:v>2375</c:v>
                </c:pt>
                <c:pt idx="249">
                  <c:v>2375</c:v>
                </c:pt>
                <c:pt idx="250">
                  <c:v>2375</c:v>
                </c:pt>
                <c:pt idx="251">
                  <c:v>2375</c:v>
                </c:pt>
                <c:pt idx="252">
                  <c:v>2375</c:v>
                </c:pt>
                <c:pt idx="253">
                  <c:v>2375</c:v>
                </c:pt>
                <c:pt idx="254">
                  <c:v>2375</c:v>
                </c:pt>
                <c:pt idx="255">
                  <c:v>2375</c:v>
                </c:pt>
                <c:pt idx="256">
                  <c:v>2375</c:v>
                </c:pt>
                <c:pt idx="257">
                  <c:v>2375</c:v>
                </c:pt>
                <c:pt idx="258">
                  <c:v>2375</c:v>
                </c:pt>
                <c:pt idx="259">
                  <c:v>2375</c:v>
                </c:pt>
                <c:pt idx="260">
                  <c:v>2375</c:v>
                </c:pt>
                <c:pt idx="261">
                  <c:v>2375</c:v>
                </c:pt>
                <c:pt idx="262">
                  <c:v>2375</c:v>
                </c:pt>
                <c:pt idx="263">
                  <c:v>2375</c:v>
                </c:pt>
                <c:pt idx="264">
                  <c:v>2375</c:v>
                </c:pt>
                <c:pt idx="265">
                  <c:v>2375</c:v>
                </c:pt>
                <c:pt idx="266">
                  <c:v>2375</c:v>
                </c:pt>
                <c:pt idx="267">
                  <c:v>2375</c:v>
                </c:pt>
                <c:pt idx="268">
                  <c:v>2375</c:v>
                </c:pt>
                <c:pt idx="269">
                  <c:v>2375</c:v>
                </c:pt>
                <c:pt idx="270">
                  <c:v>2380</c:v>
                </c:pt>
                <c:pt idx="271">
                  <c:v>2380</c:v>
                </c:pt>
                <c:pt idx="272">
                  <c:v>2380</c:v>
                </c:pt>
                <c:pt idx="273">
                  <c:v>2380</c:v>
                </c:pt>
                <c:pt idx="274">
                  <c:v>2380</c:v>
                </c:pt>
                <c:pt idx="275">
                  <c:v>2380</c:v>
                </c:pt>
                <c:pt idx="276">
                  <c:v>2380</c:v>
                </c:pt>
                <c:pt idx="277">
                  <c:v>2380</c:v>
                </c:pt>
                <c:pt idx="278">
                  <c:v>2380</c:v>
                </c:pt>
                <c:pt idx="279">
                  <c:v>2380</c:v>
                </c:pt>
                <c:pt idx="280">
                  <c:v>2380</c:v>
                </c:pt>
                <c:pt idx="281">
                  <c:v>2380</c:v>
                </c:pt>
                <c:pt idx="282">
                  <c:v>2380</c:v>
                </c:pt>
                <c:pt idx="283">
                  <c:v>2380</c:v>
                </c:pt>
                <c:pt idx="284">
                  <c:v>2380</c:v>
                </c:pt>
                <c:pt idx="285">
                  <c:v>2380</c:v>
                </c:pt>
                <c:pt idx="286">
                  <c:v>2380</c:v>
                </c:pt>
                <c:pt idx="287">
                  <c:v>2380</c:v>
                </c:pt>
                <c:pt idx="288">
                  <c:v>2375</c:v>
                </c:pt>
                <c:pt idx="289">
                  <c:v>2375</c:v>
                </c:pt>
                <c:pt idx="290">
                  <c:v>2375</c:v>
                </c:pt>
                <c:pt idx="291">
                  <c:v>2375</c:v>
                </c:pt>
                <c:pt idx="292">
                  <c:v>2375</c:v>
                </c:pt>
                <c:pt idx="293">
                  <c:v>2375</c:v>
                </c:pt>
                <c:pt idx="294">
                  <c:v>2375</c:v>
                </c:pt>
                <c:pt idx="295">
                  <c:v>2375</c:v>
                </c:pt>
                <c:pt idx="296">
                  <c:v>2375</c:v>
                </c:pt>
                <c:pt idx="297">
                  <c:v>2380</c:v>
                </c:pt>
                <c:pt idx="298">
                  <c:v>2380</c:v>
                </c:pt>
                <c:pt idx="299">
                  <c:v>2380</c:v>
                </c:pt>
                <c:pt idx="300">
                  <c:v>2375</c:v>
                </c:pt>
                <c:pt idx="301">
                  <c:v>2375</c:v>
                </c:pt>
                <c:pt idx="302">
                  <c:v>2375</c:v>
                </c:pt>
                <c:pt idx="303">
                  <c:v>2375</c:v>
                </c:pt>
                <c:pt idx="304">
                  <c:v>2375</c:v>
                </c:pt>
                <c:pt idx="305">
                  <c:v>2375</c:v>
                </c:pt>
                <c:pt idx="306">
                  <c:v>2375</c:v>
                </c:pt>
                <c:pt idx="307">
                  <c:v>2375</c:v>
                </c:pt>
                <c:pt idx="308">
                  <c:v>2375</c:v>
                </c:pt>
                <c:pt idx="309">
                  <c:v>2375</c:v>
                </c:pt>
                <c:pt idx="310">
                  <c:v>2375</c:v>
                </c:pt>
                <c:pt idx="311">
                  <c:v>2380</c:v>
                </c:pt>
                <c:pt idx="312">
                  <c:v>2375</c:v>
                </c:pt>
                <c:pt idx="313">
                  <c:v>2375</c:v>
                </c:pt>
                <c:pt idx="314">
                  <c:v>2375</c:v>
                </c:pt>
                <c:pt idx="315">
                  <c:v>2375</c:v>
                </c:pt>
                <c:pt idx="316">
                  <c:v>2380</c:v>
                </c:pt>
                <c:pt idx="317">
                  <c:v>2380</c:v>
                </c:pt>
                <c:pt idx="318">
                  <c:v>2380</c:v>
                </c:pt>
                <c:pt idx="319">
                  <c:v>2380</c:v>
                </c:pt>
                <c:pt idx="320">
                  <c:v>2380</c:v>
                </c:pt>
                <c:pt idx="321">
                  <c:v>2380</c:v>
                </c:pt>
                <c:pt idx="322">
                  <c:v>2370</c:v>
                </c:pt>
                <c:pt idx="323">
                  <c:v>2370</c:v>
                </c:pt>
                <c:pt idx="324">
                  <c:v>2370</c:v>
                </c:pt>
                <c:pt idx="325">
                  <c:v>2370</c:v>
                </c:pt>
                <c:pt idx="326">
                  <c:v>2370</c:v>
                </c:pt>
                <c:pt idx="327">
                  <c:v>2370</c:v>
                </c:pt>
                <c:pt idx="328">
                  <c:v>2370</c:v>
                </c:pt>
                <c:pt idx="329">
                  <c:v>2370</c:v>
                </c:pt>
                <c:pt idx="330">
                  <c:v>2370</c:v>
                </c:pt>
                <c:pt idx="331">
                  <c:v>2370</c:v>
                </c:pt>
                <c:pt idx="332">
                  <c:v>2370</c:v>
                </c:pt>
                <c:pt idx="333">
                  <c:v>2370</c:v>
                </c:pt>
                <c:pt idx="334">
                  <c:v>2370</c:v>
                </c:pt>
                <c:pt idx="335">
                  <c:v>2370</c:v>
                </c:pt>
                <c:pt idx="336">
                  <c:v>2375</c:v>
                </c:pt>
                <c:pt idx="337">
                  <c:v>2375</c:v>
                </c:pt>
                <c:pt idx="338">
                  <c:v>2375</c:v>
                </c:pt>
                <c:pt idx="339">
                  <c:v>2375</c:v>
                </c:pt>
                <c:pt idx="340">
                  <c:v>2375</c:v>
                </c:pt>
                <c:pt idx="341">
                  <c:v>2375</c:v>
                </c:pt>
                <c:pt idx="342">
                  <c:v>2375</c:v>
                </c:pt>
                <c:pt idx="343">
                  <c:v>2375</c:v>
                </c:pt>
                <c:pt idx="344">
                  <c:v>2375</c:v>
                </c:pt>
                <c:pt idx="345">
                  <c:v>2375</c:v>
                </c:pt>
                <c:pt idx="346">
                  <c:v>2375</c:v>
                </c:pt>
                <c:pt idx="347">
                  <c:v>2375</c:v>
                </c:pt>
                <c:pt idx="348">
                  <c:v>2375</c:v>
                </c:pt>
                <c:pt idx="349">
                  <c:v>2375</c:v>
                </c:pt>
                <c:pt idx="350">
                  <c:v>2375</c:v>
                </c:pt>
                <c:pt idx="351">
                  <c:v>2375</c:v>
                </c:pt>
                <c:pt idx="352">
                  <c:v>2375</c:v>
                </c:pt>
                <c:pt idx="353">
                  <c:v>2375</c:v>
                </c:pt>
                <c:pt idx="354">
                  <c:v>2375</c:v>
                </c:pt>
                <c:pt idx="355">
                  <c:v>2375</c:v>
                </c:pt>
                <c:pt idx="356">
                  <c:v>2375</c:v>
                </c:pt>
                <c:pt idx="357">
                  <c:v>2375</c:v>
                </c:pt>
                <c:pt idx="358">
                  <c:v>2375</c:v>
                </c:pt>
                <c:pt idx="359">
                  <c:v>2375</c:v>
                </c:pt>
                <c:pt idx="360">
                  <c:v>2375</c:v>
                </c:pt>
                <c:pt idx="361">
                  <c:v>2375</c:v>
                </c:pt>
                <c:pt idx="362">
                  <c:v>2375</c:v>
                </c:pt>
                <c:pt idx="363">
                  <c:v>2375</c:v>
                </c:pt>
                <c:pt idx="364">
                  <c:v>2375</c:v>
                </c:pt>
                <c:pt idx="365">
                  <c:v>2375</c:v>
                </c:pt>
                <c:pt idx="366">
                  <c:v>2380</c:v>
                </c:pt>
                <c:pt idx="367">
                  <c:v>2380</c:v>
                </c:pt>
                <c:pt idx="368">
                  <c:v>2380</c:v>
                </c:pt>
                <c:pt idx="369">
                  <c:v>2380</c:v>
                </c:pt>
                <c:pt idx="370">
                  <c:v>2380</c:v>
                </c:pt>
                <c:pt idx="371">
                  <c:v>2375</c:v>
                </c:pt>
                <c:pt idx="372">
                  <c:v>2375</c:v>
                </c:pt>
                <c:pt idx="373">
                  <c:v>2375</c:v>
                </c:pt>
                <c:pt idx="374">
                  <c:v>2375</c:v>
                </c:pt>
                <c:pt idx="375">
                  <c:v>2375</c:v>
                </c:pt>
                <c:pt idx="376">
                  <c:v>2370</c:v>
                </c:pt>
                <c:pt idx="377">
                  <c:v>2370</c:v>
                </c:pt>
                <c:pt idx="378">
                  <c:v>2370</c:v>
                </c:pt>
                <c:pt idx="379">
                  <c:v>2370</c:v>
                </c:pt>
                <c:pt idx="380">
                  <c:v>2370</c:v>
                </c:pt>
                <c:pt idx="381">
                  <c:v>2370</c:v>
                </c:pt>
                <c:pt idx="382">
                  <c:v>2370</c:v>
                </c:pt>
                <c:pt idx="383">
                  <c:v>2375</c:v>
                </c:pt>
                <c:pt idx="384">
                  <c:v>2375</c:v>
                </c:pt>
                <c:pt idx="385">
                  <c:v>2375</c:v>
                </c:pt>
                <c:pt idx="386">
                  <c:v>2375</c:v>
                </c:pt>
                <c:pt idx="387">
                  <c:v>2375</c:v>
                </c:pt>
                <c:pt idx="388">
                  <c:v>2375</c:v>
                </c:pt>
                <c:pt idx="389">
                  <c:v>2375</c:v>
                </c:pt>
                <c:pt idx="390">
                  <c:v>2375</c:v>
                </c:pt>
                <c:pt idx="391">
                  <c:v>2375</c:v>
                </c:pt>
                <c:pt idx="392">
                  <c:v>2375</c:v>
                </c:pt>
                <c:pt idx="393">
                  <c:v>2375</c:v>
                </c:pt>
                <c:pt idx="394">
                  <c:v>2375</c:v>
                </c:pt>
                <c:pt idx="395">
                  <c:v>2370</c:v>
                </c:pt>
                <c:pt idx="396">
                  <c:v>2370</c:v>
                </c:pt>
                <c:pt idx="397">
                  <c:v>2370</c:v>
                </c:pt>
                <c:pt idx="398">
                  <c:v>2370</c:v>
                </c:pt>
                <c:pt idx="399">
                  <c:v>2370</c:v>
                </c:pt>
                <c:pt idx="400">
                  <c:v>2370</c:v>
                </c:pt>
                <c:pt idx="401">
                  <c:v>2370</c:v>
                </c:pt>
                <c:pt idx="402">
                  <c:v>2365</c:v>
                </c:pt>
                <c:pt idx="403">
                  <c:v>2365</c:v>
                </c:pt>
                <c:pt idx="404">
                  <c:v>2370</c:v>
                </c:pt>
                <c:pt idx="405">
                  <c:v>2370</c:v>
                </c:pt>
                <c:pt idx="406">
                  <c:v>2365</c:v>
                </c:pt>
                <c:pt idx="407">
                  <c:v>2365</c:v>
                </c:pt>
                <c:pt idx="408">
                  <c:v>2365</c:v>
                </c:pt>
                <c:pt idx="409">
                  <c:v>2365</c:v>
                </c:pt>
                <c:pt idx="410">
                  <c:v>2370</c:v>
                </c:pt>
                <c:pt idx="411">
                  <c:v>2370</c:v>
                </c:pt>
                <c:pt idx="412">
                  <c:v>2370</c:v>
                </c:pt>
                <c:pt idx="413">
                  <c:v>2370</c:v>
                </c:pt>
                <c:pt idx="414">
                  <c:v>2370</c:v>
                </c:pt>
                <c:pt idx="415">
                  <c:v>2370</c:v>
                </c:pt>
                <c:pt idx="416">
                  <c:v>2370</c:v>
                </c:pt>
                <c:pt idx="417">
                  <c:v>2370</c:v>
                </c:pt>
                <c:pt idx="418">
                  <c:v>2370</c:v>
                </c:pt>
                <c:pt idx="419">
                  <c:v>2370</c:v>
                </c:pt>
                <c:pt idx="420">
                  <c:v>2370</c:v>
                </c:pt>
                <c:pt idx="421">
                  <c:v>2370</c:v>
                </c:pt>
                <c:pt idx="422">
                  <c:v>2370</c:v>
                </c:pt>
                <c:pt idx="423">
                  <c:v>2370</c:v>
                </c:pt>
                <c:pt idx="424">
                  <c:v>2370</c:v>
                </c:pt>
                <c:pt idx="425">
                  <c:v>2370</c:v>
                </c:pt>
                <c:pt idx="426">
                  <c:v>2370</c:v>
                </c:pt>
                <c:pt idx="427">
                  <c:v>2370</c:v>
                </c:pt>
                <c:pt idx="428">
                  <c:v>2370</c:v>
                </c:pt>
                <c:pt idx="429">
                  <c:v>2370</c:v>
                </c:pt>
                <c:pt idx="430">
                  <c:v>2365</c:v>
                </c:pt>
                <c:pt idx="431">
                  <c:v>2365</c:v>
                </c:pt>
                <c:pt idx="432">
                  <c:v>2365</c:v>
                </c:pt>
                <c:pt idx="433">
                  <c:v>2365</c:v>
                </c:pt>
                <c:pt idx="434">
                  <c:v>2365</c:v>
                </c:pt>
                <c:pt idx="435">
                  <c:v>2365</c:v>
                </c:pt>
                <c:pt idx="436">
                  <c:v>2365</c:v>
                </c:pt>
                <c:pt idx="437">
                  <c:v>2365</c:v>
                </c:pt>
                <c:pt idx="438">
                  <c:v>2365</c:v>
                </c:pt>
                <c:pt idx="439">
                  <c:v>2365</c:v>
                </c:pt>
                <c:pt idx="440">
                  <c:v>2370</c:v>
                </c:pt>
                <c:pt idx="441">
                  <c:v>2370</c:v>
                </c:pt>
                <c:pt idx="442">
                  <c:v>2370</c:v>
                </c:pt>
                <c:pt idx="443">
                  <c:v>2370</c:v>
                </c:pt>
                <c:pt idx="444">
                  <c:v>2370</c:v>
                </c:pt>
                <c:pt idx="445">
                  <c:v>2370</c:v>
                </c:pt>
                <c:pt idx="446">
                  <c:v>2370</c:v>
                </c:pt>
                <c:pt idx="447">
                  <c:v>2370</c:v>
                </c:pt>
                <c:pt idx="448">
                  <c:v>2370</c:v>
                </c:pt>
                <c:pt idx="449">
                  <c:v>2370</c:v>
                </c:pt>
                <c:pt idx="450">
                  <c:v>2370</c:v>
                </c:pt>
                <c:pt idx="451">
                  <c:v>2370</c:v>
                </c:pt>
                <c:pt idx="452">
                  <c:v>2370</c:v>
                </c:pt>
                <c:pt idx="453">
                  <c:v>2370</c:v>
                </c:pt>
                <c:pt idx="454">
                  <c:v>2370</c:v>
                </c:pt>
                <c:pt idx="455">
                  <c:v>2370</c:v>
                </c:pt>
                <c:pt idx="456">
                  <c:v>2370</c:v>
                </c:pt>
                <c:pt idx="457">
                  <c:v>2370</c:v>
                </c:pt>
                <c:pt idx="458">
                  <c:v>2370</c:v>
                </c:pt>
                <c:pt idx="459">
                  <c:v>2370</c:v>
                </c:pt>
                <c:pt idx="460">
                  <c:v>2370</c:v>
                </c:pt>
                <c:pt idx="461">
                  <c:v>2370</c:v>
                </c:pt>
                <c:pt idx="462">
                  <c:v>2370</c:v>
                </c:pt>
                <c:pt idx="463">
                  <c:v>2370</c:v>
                </c:pt>
                <c:pt idx="464">
                  <c:v>2370</c:v>
                </c:pt>
                <c:pt idx="465">
                  <c:v>2370</c:v>
                </c:pt>
                <c:pt idx="466">
                  <c:v>2365</c:v>
                </c:pt>
                <c:pt idx="467">
                  <c:v>2365</c:v>
                </c:pt>
                <c:pt idx="468">
                  <c:v>2365</c:v>
                </c:pt>
                <c:pt idx="469">
                  <c:v>2365</c:v>
                </c:pt>
                <c:pt idx="470">
                  <c:v>2365</c:v>
                </c:pt>
                <c:pt idx="471">
                  <c:v>2365</c:v>
                </c:pt>
                <c:pt idx="472">
                  <c:v>2365</c:v>
                </c:pt>
                <c:pt idx="473">
                  <c:v>2365</c:v>
                </c:pt>
                <c:pt idx="474">
                  <c:v>2365</c:v>
                </c:pt>
                <c:pt idx="475">
                  <c:v>2370</c:v>
                </c:pt>
                <c:pt idx="476">
                  <c:v>2370</c:v>
                </c:pt>
                <c:pt idx="477">
                  <c:v>2370</c:v>
                </c:pt>
                <c:pt idx="478">
                  <c:v>2370</c:v>
                </c:pt>
                <c:pt idx="479">
                  <c:v>2370</c:v>
                </c:pt>
                <c:pt idx="480">
                  <c:v>2370</c:v>
                </c:pt>
                <c:pt idx="481">
                  <c:v>2370</c:v>
                </c:pt>
                <c:pt idx="482">
                  <c:v>2365</c:v>
                </c:pt>
                <c:pt idx="483">
                  <c:v>2365</c:v>
                </c:pt>
                <c:pt idx="484">
                  <c:v>2365</c:v>
                </c:pt>
                <c:pt idx="485">
                  <c:v>2365</c:v>
                </c:pt>
                <c:pt idx="486">
                  <c:v>2365</c:v>
                </c:pt>
                <c:pt idx="487">
                  <c:v>2370</c:v>
                </c:pt>
                <c:pt idx="488">
                  <c:v>2365</c:v>
                </c:pt>
                <c:pt idx="489">
                  <c:v>2365</c:v>
                </c:pt>
                <c:pt idx="490">
                  <c:v>2365</c:v>
                </c:pt>
                <c:pt idx="491">
                  <c:v>2365</c:v>
                </c:pt>
                <c:pt idx="492">
                  <c:v>2365</c:v>
                </c:pt>
                <c:pt idx="493">
                  <c:v>2365</c:v>
                </c:pt>
                <c:pt idx="494">
                  <c:v>2365</c:v>
                </c:pt>
                <c:pt idx="495">
                  <c:v>2365</c:v>
                </c:pt>
                <c:pt idx="496">
                  <c:v>2365</c:v>
                </c:pt>
                <c:pt idx="497">
                  <c:v>2365</c:v>
                </c:pt>
                <c:pt idx="498">
                  <c:v>2365</c:v>
                </c:pt>
                <c:pt idx="499">
                  <c:v>2365</c:v>
                </c:pt>
                <c:pt idx="500">
                  <c:v>2365</c:v>
                </c:pt>
                <c:pt idx="501">
                  <c:v>2365</c:v>
                </c:pt>
                <c:pt idx="502">
                  <c:v>2365</c:v>
                </c:pt>
                <c:pt idx="503">
                  <c:v>2365</c:v>
                </c:pt>
                <c:pt idx="504">
                  <c:v>2365</c:v>
                </c:pt>
                <c:pt idx="505">
                  <c:v>2365</c:v>
                </c:pt>
                <c:pt idx="506">
                  <c:v>2365</c:v>
                </c:pt>
                <c:pt idx="507">
                  <c:v>2365</c:v>
                </c:pt>
                <c:pt idx="508">
                  <c:v>2370</c:v>
                </c:pt>
                <c:pt idx="509">
                  <c:v>2370</c:v>
                </c:pt>
                <c:pt idx="510">
                  <c:v>2370</c:v>
                </c:pt>
                <c:pt idx="511">
                  <c:v>2370</c:v>
                </c:pt>
                <c:pt idx="512">
                  <c:v>2365</c:v>
                </c:pt>
                <c:pt idx="513">
                  <c:v>2365</c:v>
                </c:pt>
                <c:pt idx="514">
                  <c:v>2365</c:v>
                </c:pt>
                <c:pt idx="515">
                  <c:v>2365</c:v>
                </c:pt>
                <c:pt idx="516">
                  <c:v>2365</c:v>
                </c:pt>
                <c:pt idx="517">
                  <c:v>2370</c:v>
                </c:pt>
                <c:pt idx="518">
                  <c:v>2370</c:v>
                </c:pt>
                <c:pt idx="519">
                  <c:v>2370</c:v>
                </c:pt>
                <c:pt idx="520">
                  <c:v>2370</c:v>
                </c:pt>
                <c:pt idx="521">
                  <c:v>2370</c:v>
                </c:pt>
                <c:pt idx="522">
                  <c:v>2370</c:v>
                </c:pt>
                <c:pt idx="523">
                  <c:v>2370</c:v>
                </c:pt>
                <c:pt idx="524">
                  <c:v>2370</c:v>
                </c:pt>
                <c:pt idx="525">
                  <c:v>2370</c:v>
                </c:pt>
                <c:pt idx="526">
                  <c:v>2370</c:v>
                </c:pt>
                <c:pt idx="527">
                  <c:v>2370</c:v>
                </c:pt>
                <c:pt idx="528">
                  <c:v>2370</c:v>
                </c:pt>
                <c:pt idx="529">
                  <c:v>2370</c:v>
                </c:pt>
                <c:pt idx="530">
                  <c:v>2370</c:v>
                </c:pt>
                <c:pt idx="531">
                  <c:v>2370</c:v>
                </c:pt>
                <c:pt idx="532">
                  <c:v>2370</c:v>
                </c:pt>
                <c:pt idx="533">
                  <c:v>2370</c:v>
                </c:pt>
                <c:pt idx="534">
                  <c:v>2370</c:v>
                </c:pt>
                <c:pt idx="535">
                  <c:v>2370</c:v>
                </c:pt>
                <c:pt idx="536">
                  <c:v>2370</c:v>
                </c:pt>
                <c:pt idx="537">
                  <c:v>2370</c:v>
                </c:pt>
                <c:pt idx="538">
                  <c:v>2370</c:v>
                </c:pt>
                <c:pt idx="539">
                  <c:v>2370</c:v>
                </c:pt>
                <c:pt idx="540">
                  <c:v>2370</c:v>
                </c:pt>
                <c:pt idx="541">
                  <c:v>2370</c:v>
                </c:pt>
                <c:pt idx="542">
                  <c:v>2365</c:v>
                </c:pt>
                <c:pt idx="543">
                  <c:v>2365</c:v>
                </c:pt>
                <c:pt idx="544">
                  <c:v>2360</c:v>
                </c:pt>
                <c:pt idx="545">
                  <c:v>2365</c:v>
                </c:pt>
                <c:pt idx="546">
                  <c:v>2365</c:v>
                </c:pt>
                <c:pt idx="547">
                  <c:v>2365</c:v>
                </c:pt>
                <c:pt idx="548">
                  <c:v>2365</c:v>
                </c:pt>
                <c:pt idx="549">
                  <c:v>2365</c:v>
                </c:pt>
                <c:pt idx="550">
                  <c:v>2365</c:v>
                </c:pt>
                <c:pt idx="551">
                  <c:v>2365</c:v>
                </c:pt>
                <c:pt idx="552">
                  <c:v>2365</c:v>
                </c:pt>
                <c:pt idx="553">
                  <c:v>2365</c:v>
                </c:pt>
                <c:pt idx="554">
                  <c:v>2360</c:v>
                </c:pt>
                <c:pt idx="555">
                  <c:v>2365</c:v>
                </c:pt>
                <c:pt idx="556">
                  <c:v>2360</c:v>
                </c:pt>
                <c:pt idx="557">
                  <c:v>2360</c:v>
                </c:pt>
                <c:pt idx="558">
                  <c:v>2360</c:v>
                </c:pt>
                <c:pt idx="559">
                  <c:v>2360</c:v>
                </c:pt>
                <c:pt idx="560">
                  <c:v>2360</c:v>
                </c:pt>
                <c:pt idx="561">
                  <c:v>2360</c:v>
                </c:pt>
                <c:pt idx="562">
                  <c:v>2360</c:v>
                </c:pt>
                <c:pt idx="563">
                  <c:v>2360</c:v>
                </c:pt>
                <c:pt idx="564">
                  <c:v>2360</c:v>
                </c:pt>
                <c:pt idx="565">
                  <c:v>2360</c:v>
                </c:pt>
                <c:pt idx="566">
                  <c:v>2360</c:v>
                </c:pt>
                <c:pt idx="567">
                  <c:v>2360</c:v>
                </c:pt>
                <c:pt idx="568">
                  <c:v>2360</c:v>
                </c:pt>
                <c:pt idx="569">
                  <c:v>2365</c:v>
                </c:pt>
                <c:pt idx="570">
                  <c:v>2365</c:v>
                </c:pt>
                <c:pt idx="571">
                  <c:v>2365</c:v>
                </c:pt>
                <c:pt idx="572">
                  <c:v>2365</c:v>
                </c:pt>
                <c:pt idx="573">
                  <c:v>2365</c:v>
                </c:pt>
                <c:pt idx="574">
                  <c:v>2365</c:v>
                </c:pt>
                <c:pt idx="575">
                  <c:v>2365</c:v>
                </c:pt>
                <c:pt idx="576">
                  <c:v>2365</c:v>
                </c:pt>
                <c:pt idx="577">
                  <c:v>2365</c:v>
                </c:pt>
                <c:pt idx="578">
                  <c:v>2365</c:v>
                </c:pt>
                <c:pt idx="579">
                  <c:v>2365</c:v>
                </c:pt>
                <c:pt idx="580">
                  <c:v>2365</c:v>
                </c:pt>
                <c:pt idx="581">
                  <c:v>2365</c:v>
                </c:pt>
                <c:pt idx="582">
                  <c:v>2365</c:v>
                </c:pt>
                <c:pt idx="583">
                  <c:v>2365</c:v>
                </c:pt>
                <c:pt idx="584">
                  <c:v>2365</c:v>
                </c:pt>
                <c:pt idx="585">
                  <c:v>2360</c:v>
                </c:pt>
                <c:pt idx="586">
                  <c:v>2360</c:v>
                </c:pt>
                <c:pt idx="587">
                  <c:v>2360</c:v>
                </c:pt>
                <c:pt idx="588">
                  <c:v>2365</c:v>
                </c:pt>
                <c:pt idx="589">
                  <c:v>2370</c:v>
                </c:pt>
                <c:pt idx="590">
                  <c:v>2370</c:v>
                </c:pt>
                <c:pt idx="591">
                  <c:v>2370</c:v>
                </c:pt>
                <c:pt idx="592">
                  <c:v>2370</c:v>
                </c:pt>
                <c:pt idx="593">
                  <c:v>2370</c:v>
                </c:pt>
                <c:pt idx="594">
                  <c:v>2370</c:v>
                </c:pt>
                <c:pt idx="595">
                  <c:v>2365</c:v>
                </c:pt>
                <c:pt idx="596">
                  <c:v>2365</c:v>
                </c:pt>
                <c:pt idx="597">
                  <c:v>2365</c:v>
                </c:pt>
                <c:pt idx="598">
                  <c:v>2365</c:v>
                </c:pt>
                <c:pt idx="599">
                  <c:v>2365</c:v>
                </c:pt>
                <c:pt idx="600">
                  <c:v>2360</c:v>
                </c:pt>
                <c:pt idx="601">
                  <c:v>2360</c:v>
                </c:pt>
                <c:pt idx="602">
                  <c:v>2360</c:v>
                </c:pt>
                <c:pt idx="603">
                  <c:v>2360</c:v>
                </c:pt>
                <c:pt idx="604">
                  <c:v>2360</c:v>
                </c:pt>
                <c:pt idx="605">
                  <c:v>2360</c:v>
                </c:pt>
                <c:pt idx="606">
                  <c:v>2360</c:v>
                </c:pt>
                <c:pt idx="607">
                  <c:v>2365</c:v>
                </c:pt>
                <c:pt idx="608">
                  <c:v>2365</c:v>
                </c:pt>
                <c:pt idx="609">
                  <c:v>2365</c:v>
                </c:pt>
                <c:pt idx="610">
                  <c:v>2365</c:v>
                </c:pt>
                <c:pt idx="611">
                  <c:v>2360</c:v>
                </c:pt>
                <c:pt idx="612">
                  <c:v>2360</c:v>
                </c:pt>
                <c:pt idx="613">
                  <c:v>2360</c:v>
                </c:pt>
                <c:pt idx="614">
                  <c:v>2365</c:v>
                </c:pt>
                <c:pt idx="615">
                  <c:v>2365</c:v>
                </c:pt>
                <c:pt idx="616">
                  <c:v>2365</c:v>
                </c:pt>
                <c:pt idx="617">
                  <c:v>2365</c:v>
                </c:pt>
                <c:pt idx="618">
                  <c:v>2365</c:v>
                </c:pt>
                <c:pt idx="619">
                  <c:v>2365</c:v>
                </c:pt>
                <c:pt idx="620">
                  <c:v>2365</c:v>
                </c:pt>
                <c:pt idx="621">
                  <c:v>2365</c:v>
                </c:pt>
                <c:pt idx="622">
                  <c:v>2365</c:v>
                </c:pt>
                <c:pt idx="623">
                  <c:v>2365</c:v>
                </c:pt>
                <c:pt idx="624">
                  <c:v>2365</c:v>
                </c:pt>
                <c:pt idx="625">
                  <c:v>2365</c:v>
                </c:pt>
                <c:pt idx="626">
                  <c:v>2365</c:v>
                </c:pt>
                <c:pt idx="627">
                  <c:v>2365</c:v>
                </c:pt>
                <c:pt idx="628">
                  <c:v>2365</c:v>
                </c:pt>
                <c:pt idx="629">
                  <c:v>2365</c:v>
                </c:pt>
                <c:pt idx="630">
                  <c:v>2365</c:v>
                </c:pt>
                <c:pt idx="631">
                  <c:v>2365</c:v>
                </c:pt>
                <c:pt idx="632">
                  <c:v>2365</c:v>
                </c:pt>
                <c:pt idx="633">
                  <c:v>2370</c:v>
                </c:pt>
                <c:pt idx="634">
                  <c:v>2370</c:v>
                </c:pt>
                <c:pt idx="635">
                  <c:v>2370</c:v>
                </c:pt>
                <c:pt idx="636">
                  <c:v>2370</c:v>
                </c:pt>
                <c:pt idx="637">
                  <c:v>2370</c:v>
                </c:pt>
                <c:pt idx="638">
                  <c:v>2370</c:v>
                </c:pt>
                <c:pt idx="639">
                  <c:v>2370</c:v>
                </c:pt>
                <c:pt idx="640">
                  <c:v>2365</c:v>
                </c:pt>
                <c:pt idx="641">
                  <c:v>2365</c:v>
                </c:pt>
                <c:pt idx="642">
                  <c:v>2365</c:v>
                </c:pt>
                <c:pt idx="643">
                  <c:v>2365</c:v>
                </c:pt>
                <c:pt idx="644">
                  <c:v>2365</c:v>
                </c:pt>
                <c:pt idx="645">
                  <c:v>2365</c:v>
                </c:pt>
                <c:pt idx="646">
                  <c:v>2365</c:v>
                </c:pt>
                <c:pt idx="647">
                  <c:v>2360</c:v>
                </c:pt>
                <c:pt idx="648">
                  <c:v>2360</c:v>
                </c:pt>
                <c:pt idx="649">
                  <c:v>2360</c:v>
                </c:pt>
                <c:pt idx="650">
                  <c:v>2370</c:v>
                </c:pt>
                <c:pt idx="651">
                  <c:v>2365</c:v>
                </c:pt>
                <c:pt idx="652">
                  <c:v>2365</c:v>
                </c:pt>
                <c:pt idx="653">
                  <c:v>2370</c:v>
                </c:pt>
                <c:pt idx="654">
                  <c:v>2370</c:v>
                </c:pt>
                <c:pt idx="655">
                  <c:v>2370</c:v>
                </c:pt>
                <c:pt idx="656">
                  <c:v>2365</c:v>
                </c:pt>
                <c:pt idx="657">
                  <c:v>2365</c:v>
                </c:pt>
                <c:pt idx="658">
                  <c:v>2365</c:v>
                </c:pt>
                <c:pt idx="659">
                  <c:v>2370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DF6-4FCD-9870-9F25F5B9306D}"/>
            </c:ext>
          </c:extLst>
        </c:ser>
        <c:ser>
          <c:idx val="1"/>
          <c:order val="1"/>
          <c:tx>
            <c:v>2374.1</c:v>
          </c:tx>
          <c:marker>
            <c:symbol val="none"/>
          </c:marker>
          <c:val>
            <c:numRef>
              <c:f>結算估價!$E$668:$E$1328</c:f>
              <c:numCache>
                <c:formatCode>General</c:formatCode>
                <c:ptCount val="661"/>
                <c:pt idx="0">
                  <c:v>2395</c:v>
                </c:pt>
                <c:pt idx="1">
                  <c:v>2395</c:v>
                </c:pt>
                <c:pt idx="2">
                  <c:v>2395</c:v>
                </c:pt>
                <c:pt idx="3">
                  <c:v>2395</c:v>
                </c:pt>
                <c:pt idx="4">
                  <c:v>2395</c:v>
                </c:pt>
                <c:pt idx="5">
                  <c:v>2395</c:v>
                </c:pt>
                <c:pt idx="6">
                  <c:v>2395</c:v>
                </c:pt>
                <c:pt idx="7">
                  <c:v>2395</c:v>
                </c:pt>
                <c:pt idx="8">
                  <c:v>2394.4444444444443</c:v>
                </c:pt>
                <c:pt idx="9">
                  <c:v>2394</c:v>
                </c:pt>
                <c:pt idx="10">
                  <c:v>2393.6363636363635</c:v>
                </c:pt>
                <c:pt idx="11">
                  <c:v>2392.9166666666665</c:v>
                </c:pt>
                <c:pt idx="12">
                  <c:v>2392.3076923076924</c:v>
                </c:pt>
                <c:pt idx="13">
                  <c:v>2391.7857142857142</c:v>
                </c:pt>
                <c:pt idx="14">
                  <c:v>2391.3333333333335</c:v>
                </c:pt>
                <c:pt idx="15">
                  <c:v>2390.9375</c:v>
                </c:pt>
                <c:pt idx="16">
                  <c:v>2390.5882352941176</c:v>
                </c:pt>
                <c:pt idx="17">
                  <c:v>2390.5555555555557</c:v>
                </c:pt>
                <c:pt idx="18">
                  <c:v>2390.5263157894738</c:v>
                </c:pt>
                <c:pt idx="19">
                  <c:v>2390.5</c:v>
                </c:pt>
                <c:pt idx="20">
                  <c:v>2390.4761904761904</c:v>
                </c:pt>
                <c:pt idx="21">
                  <c:v>2390.4545454545455</c:v>
                </c:pt>
                <c:pt idx="22">
                  <c:v>2390.4347826086955</c:v>
                </c:pt>
                <c:pt idx="23">
                  <c:v>2390.4166666666665</c:v>
                </c:pt>
                <c:pt idx="24">
                  <c:v>2390.4</c:v>
                </c:pt>
                <c:pt idx="25">
                  <c:v>2390.3846153846152</c:v>
                </c:pt>
                <c:pt idx="26">
                  <c:v>2390.3703703703704</c:v>
                </c:pt>
                <c:pt idx="27">
                  <c:v>2390.3571428571427</c:v>
                </c:pt>
                <c:pt idx="28">
                  <c:v>2390.344827586207</c:v>
                </c:pt>
                <c:pt idx="29">
                  <c:v>2390.3333333333335</c:v>
                </c:pt>
                <c:pt idx="30">
                  <c:v>2390.3225806451615</c:v>
                </c:pt>
                <c:pt idx="31">
                  <c:v>2390.3125</c:v>
                </c:pt>
                <c:pt idx="32">
                  <c:v>2390.3030303030305</c:v>
                </c:pt>
                <c:pt idx="33">
                  <c:v>2390.294117647059</c:v>
                </c:pt>
                <c:pt idx="34">
                  <c:v>2390.2857142857142</c:v>
                </c:pt>
                <c:pt idx="35">
                  <c:v>2390.2777777777778</c:v>
                </c:pt>
                <c:pt idx="36">
                  <c:v>2390.2702702702704</c:v>
                </c:pt>
                <c:pt idx="37">
                  <c:v>2390.2631578947367</c:v>
                </c:pt>
                <c:pt idx="38">
                  <c:v>2390.2564102564102</c:v>
                </c:pt>
                <c:pt idx="39">
                  <c:v>2390.25</c:v>
                </c:pt>
                <c:pt idx="40">
                  <c:v>2390.2439024390242</c:v>
                </c:pt>
                <c:pt idx="41">
                  <c:v>2390.2380952380954</c:v>
                </c:pt>
                <c:pt idx="42">
                  <c:v>2390.2325581395348</c:v>
                </c:pt>
                <c:pt idx="43">
                  <c:v>2390.2272727272725</c:v>
                </c:pt>
                <c:pt idx="44">
                  <c:v>2390.1111111111113</c:v>
                </c:pt>
                <c:pt idx="45">
                  <c:v>2390</c:v>
                </c:pt>
                <c:pt idx="46">
                  <c:v>2390</c:v>
                </c:pt>
                <c:pt idx="47">
                  <c:v>2390</c:v>
                </c:pt>
                <c:pt idx="48">
                  <c:v>2390</c:v>
                </c:pt>
                <c:pt idx="49">
                  <c:v>2390</c:v>
                </c:pt>
                <c:pt idx="50">
                  <c:v>2390</c:v>
                </c:pt>
                <c:pt idx="51">
                  <c:v>2390</c:v>
                </c:pt>
                <c:pt idx="52">
                  <c:v>2390</c:v>
                </c:pt>
                <c:pt idx="53">
                  <c:v>2390</c:v>
                </c:pt>
                <c:pt idx="54">
                  <c:v>2390</c:v>
                </c:pt>
                <c:pt idx="55">
                  <c:v>2390</c:v>
                </c:pt>
                <c:pt idx="56">
                  <c:v>2390</c:v>
                </c:pt>
                <c:pt idx="57">
                  <c:v>2389.9137931034484</c:v>
                </c:pt>
                <c:pt idx="58">
                  <c:v>2389.9152542372881</c:v>
                </c:pt>
                <c:pt idx="59">
                  <c:v>2389.9166666666665</c:v>
                </c:pt>
                <c:pt idx="60">
                  <c:v>2389.9180327868853</c:v>
                </c:pt>
                <c:pt idx="61">
                  <c:v>2389.9193548387098</c:v>
                </c:pt>
                <c:pt idx="62">
                  <c:v>2389.9206349206347</c:v>
                </c:pt>
                <c:pt idx="63">
                  <c:v>2389.921875</c:v>
                </c:pt>
                <c:pt idx="64">
                  <c:v>2389.9230769230771</c:v>
                </c:pt>
                <c:pt idx="65">
                  <c:v>2389.9242424242425</c:v>
                </c:pt>
                <c:pt idx="66">
                  <c:v>2389.9253731343283</c:v>
                </c:pt>
                <c:pt idx="67">
                  <c:v>2389.9264705882351</c:v>
                </c:pt>
                <c:pt idx="68">
                  <c:v>2389.927536231884</c:v>
                </c:pt>
                <c:pt idx="69">
                  <c:v>2389.7857142857142</c:v>
                </c:pt>
                <c:pt idx="70">
                  <c:v>2389.6478873239435</c:v>
                </c:pt>
                <c:pt idx="71">
                  <c:v>2389.5138888888887</c:v>
                </c:pt>
                <c:pt idx="72">
                  <c:v>2389.4520547945203</c:v>
                </c:pt>
                <c:pt idx="73">
                  <c:v>2389.3918918918921</c:v>
                </c:pt>
                <c:pt idx="74">
                  <c:v>2389.3333333333335</c:v>
                </c:pt>
                <c:pt idx="75">
                  <c:v>2389.2763157894738</c:v>
                </c:pt>
                <c:pt idx="76">
                  <c:v>2389.2207792207791</c:v>
                </c:pt>
                <c:pt idx="77">
                  <c:v>2389.1666666666665</c:v>
                </c:pt>
                <c:pt idx="78">
                  <c:v>2389.1139240506327</c:v>
                </c:pt>
                <c:pt idx="79">
                  <c:v>2389.0625</c:v>
                </c:pt>
                <c:pt idx="80">
                  <c:v>2389.0123456790125</c:v>
                </c:pt>
                <c:pt idx="81">
                  <c:v>2388.9024390243903</c:v>
                </c:pt>
                <c:pt idx="82">
                  <c:v>2388.7951807228915</c:v>
                </c:pt>
                <c:pt idx="83">
                  <c:v>2388.6904761904761</c:v>
                </c:pt>
                <c:pt idx="84">
                  <c:v>2388.5882352941176</c:v>
                </c:pt>
                <c:pt idx="85">
                  <c:v>2388.4883720930234</c:v>
                </c:pt>
                <c:pt idx="86">
                  <c:v>2388.3908045977009</c:v>
                </c:pt>
                <c:pt idx="87">
                  <c:v>2388.2954545454545</c:v>
                </c:pt>
                <c:pt idx="88">
                  <c:v>2388.2022471910113</c:v>
                </c:pt>
                <c:pt idx="89">
                  <c:v>2388.1111111111113</c:v>
                </c:pt>
                <c:pt idx="90">
                  <c:v>2388.0219780219782</c:v>
                </c:pt>
                <c:pt idx="91">
                  <c:v>2387.9347826086955</c:v>
                </c:pt>
                <c:pt idx="92">
                  <c:v>2387.8494623655915</c:v>
                </c:pt>
                <c:pt idx="93">
                  <c:v>2387.7659574468084</c:v>
                </c:pt>
                <c:pt idx="94">
                  <c:v>2387.6842105263158</c:v>
                </c:pt>
                <c:pt idx="95">
                  <c:v>2387.6041666666665</c:v>
                </c:pt>
                <c:pt idx="96">
                  <c:v>2387.5257731958764</c:v>
                </c:pt>
                <c:pt idx="97">
                  <c:v>2387.4489795918366</c:v>
                </c:pt>
                <c:pt idx="98">
                  <c:v>2387.3737373737372</c:v>
                </c:pt>
                <c:pt idx="99">
                  <c:v>2387.3000000000002</c:v>
                </c:pt>
                <c:pt idx="100">
                  <c:v>2387.227722772277</c:v>
                </c:pt>
                <c:pt idx="101">
                  <c:v>2387.1078431372548</c:v>
                </c:pt>
                <c:pt idx="102">
                  <c:v>2387.0388349514565</c:v>
                </c:pt>
                <c:pt idx="103">
                  <c:v>2386.9711538461538</c:v>
                </c:pt>
                <c:pt idx="104">
                  <c:v>2386.9047619047619</c:v>
                </c:pt>
                <c:pt idx="105">
                  <c:v>2386.8396226415093</c:v>
                </c:pt>
                <c:pt idx="106">
                  <c:v>2386.7757009345796</c:v>
                </c:pt>
                <c:pt idx="107">
                  <c:v>2386.712962962963</c:v>
                </c:pt>
                <c:pt idx="108">
                  <c:v>2386.6513761467891</c:v>
                </c:pt>
                <c:pt idx="109">
                  <c:v>2386.590909090909</c:v>
                </c:pt>
                <c:pt idx="110">
                  <c:v>2386.5315315315315</c:v>
                </c:pt>
                <c:pt idx="111">
                  <c:v>2386.4732142857142</c:v>
                </c:pt>
                <c:pt idx="112">
                  <c:v>2386.4159292035397</c:v>
                </c:pt>
                <c:pt idx="113">
                  <c:v>2386.3596491228072</c:v>
                </c:pt>
                <c:pt idx="114">
                  <c:v>2386.304347826087</c:v>
                </c:pt>
                <c:pt idx="115">
                  <c:v>2386.25</c:v>
                </c:pt>
                <c:pt idx="116">
                  <c:v>2386.1965811965811</c:v>
                </c:pt>
                <c:pt idx="117">
                  <c:v>2386.1440677966102</c:v>
                </c:pt>
                <c:pt idx="118">
                  <c:v>2386.09243697479</c:v>
                </c:pt>
                <c:pt idx="119">
                  <c:v>2386</c:v>
                </c:pt>
                <c:pt idx="120">
                  <c:v>2385.9504132231405</c:v>
                </c:pt>
                <c:pt idx="121">
                  <c:v>2385.9016393442621</c:v>
                </c:pt>
                <c:pt idx="122">
                  <c:v>2385.8536585365855</c:v>
                </c:pt>
                <c:pt idx="123">
                  <c:v>2385.8064516129034</c:v>
                </c:pt>
                <c:pt idx="124">
                  <c:v>2385.7600000000002</c:v>
                </c:pt>
                <c:pt idx="125">
                  <c:v>2385.7142857142858</c:v>
                </c:pt>
                <c:pt idx="126">
                  <c:v>2385.6692913385828</c:v>
                </c:pt>
                <c:pt idx="127">
                  <c:v>2385.625</c:v>
                </c:pt>
                <c:pt idx="128">
                  <c:v>2385.5813953488373</c:v>
                </c:pt>
                <c:pt idx="129">
                  <c:v>2385.5384615384614</c:v>
                </c:pt>
                <c:pt idx="130">
                  <c:v>2385.4961832061067</c:v>
                </c:pt>
                <c:pt idx="131">
                  <c:v>2385.4166666666665</c:v>
                </c:pt>
                <c:pt idx="132">
                  <c:v>2385.3383458646617</c:v>
                </c:pt>
                <c:pt idx="133">
                  <c:v>2385.2611940298507</c:v>
                </c:pt>
                <c:pt idx="134">
                  <c:v>2385.1851851851852</c:v>
                </c:pt>
                <c:pt idx="135">
                  <c:v>2385.1102941176468</c:v>
                </c:pt>
                <c:pt idx="136">
                  <c:v>2385.0364963503648</c:v>
                </c:pt>
                <c:pt idx="137">
                  <c:v>2384.963768115942</c:v>
                </c:pt>
                <c:pt idx="138">
                  <c:v>2384.8920863309354</c:v>
                </c:pt>
                <c:pt idx="139">
                  <c:v>2384.8214285714284</c:v>
                </c:pt>
                <c:pt idx="140">
                  <c:v>2384.7517730496452</c:v>
                </c:pt>
                <c:pt idx="141">
                  <c:v>2384.6830985915494</c:v>
                </c:pt>
                <c:pt idx="142">
                  <c:v>2384.6153846153848</c:v>
                </c:pt>
                <c:pt idx="143">
                  <c:v>2384.5486111111113</c:v>
                </c:pt>
                <c:pt idx="144">
                  <c:v>2384.4827586206898</c:v>
                </c:pt>
                <c:pt idx="145">
                  <c:v>2384.4520547945203</c:v>
                </c:pt>
                <c:pt idx="146">
                  <c:v>2384.4217687074829</c:v>
                </c:pt>
                <c:pt idx="147">
                  <c:v>2384.3918918918921</c:v>
                </c:pt>
                <c:pt idx="148">
                  <c:v>2384.3624161073826</c:v>
                </c:pt>
                <c:pt idx="149">
                  <c:v>2384.3333333333335</c:v>
                </c:pt>
                <c:pt idx="150">
                  <c:v>2384.3046357615895</c:v>
                </c:pt>
                <c:pt idx="151">
                  <c:v>2384.2763157894738</c:v>
                </c:pt>
                <c:pt idx="152">
                  <c:v>2384.248366013072</c:v>
                </c:pt>
                <c:pt idx="153">
                  <c:v>2384.2207792207791</c:v>
                </c:pt>
                <c:pt idx="154">
                  <c:v>2384.1935483870966</c:v>
                </c:pt>
                <c:pt idx="155">
                  <c:v>2384.1666666666665</c:v>
                </c:pt>
                <c:pt idx="156">
                  <c:v>2384.1401273885349</c:v>
                </c:pt>
                <c:pt idx="157">
                  <c:v>2384.1139240506327</c:v>
                </c:pt>
                <c:pt idx="158">
                  <c:v>2384.0880503144654</c:v>
                </c:pt>
                <c:pt idx="159">
                  <c:v>2384.0625</c:v>
                </c:pt>
                <c:pt idx="160">
                  <c:v>2384.0372670807456</c:v>
                </c:pt>
                <c:pt idx="161">
                  <c:v>2384.0123456790125</c:v>
                </c:pt>
                <c:pt idx="162">
                  <c:v>2383.9877300613498</c:v>
                </c:pt>
                <c:pt idx="163">
                  <c:v>2383.9634146341464</c:v>
                </c:pt>
                <c:pt idx="164">
                  <c:v>2383.939393939394</c:v>
                </c:pt>
                <c:pt idx="165">
                  <c:v>2383.9156626506024</c:v>
                </c:pt>
                <c:pt idx="166">
                  <c:v>2383.8922155688624</c:v>
                </c:pt>
                <c:pt idx="167">
                  <c:v>2383.8690476190477</c:v>
                </c:pt>
                <c:pt idx="168">
                  <c:v>2383.8461538461538</c:v>
                </c:pt>
                <c:pt idx="169">
                  <c:v>2383.8235294117649</c:v>
                </c:pt>
                <c:pt idx="170">
                  <c:v>2383.8011695906434</c:v>
                </c:pt>
                <c:pt idx="171">
                  <c:v>2383.7790697674418</c:v>
                </c:pt>
                <c:pt idx="172">
                  <c:v>2383.7572254335259</c:v>
                </c:pt>
                <c:pt idx="173">
                  <c:v>2383.7356321839079</c:v>
                </c:pt>
                <c:pt idx="174">
                  <c:v>2383.7142857142858</c:v>
                </c:pt>
                <c:pt idx="175">
                  <c:v>2383.693181818182</c:v>
                </c:pt>
                <c:pt idx="176">
                  <c:v>2383.6723163841807</c:v>
                </c:pt>
                <c:pt idx="177">
                  <c:v>2383.6516853932585</c:v>
                </c:pt>
                <c:pt idx="178">
                  <c:v>2383.6312849162009</c:v>
                </c:pt>
                <c:pt idx="179">
                  <c:v>2383.6111111111113</c:v>
                </c:pt>
                <c:pt idx="180">
                  <c:v>2383.5911602209944</c:v>
                </c:pt>
                <c:pt idx="181">
                  <c:v>2383.5714285714284</c:v>
                </c:pt>
                <c:pt idx="182">
                  <c:v>2383.5519125683059</c:v>
                </c:pt>
                <c:pt idx="183">
                  <c:v>2383.532608695652</c:v>
                </c:pt>
                <c:pt idx="184">
                  <c:v>2383.5135135135133</c:v>
                </c:pt>
                <c:pt idx="185">
                  <c:v>2383.494623655914</c:v>
                </c:pt>
                <c:pt idx="186">
                  <c:v>2383.475935828877</c:v>
                </c:pt>
                <c:pt idx="187">
                  <c:v>2383.4574468085107</c:v>
                </c:pt>
                <c:pt idx="188">
                  <c:v>2383.4391534391534</c:v>
                </c:pt>
                <c:pt idx="189">
                  <c:v>2383.4210526315787</c:v>
                </c:pt>
                <c:pt idx="190">
                  <c:v>2383.4031413612565</c:v>
                </c:pt>
                <c:pt idx="191">
                  <c:v>2383.3854166666665</c:v>
                </c:pt>
                <c:pt idx="192">
                  <c:v>2383.3678756476684</c:v>
                </c:pt>
                <c:pt idx="193">
                  <c:v>2383.3505154639174</c:v>
                </c:pt>
                <c:pt idx="194">
                  <c:v>2383.3076923076924</c:v>
                </c:pt>
                <c:pt idx="195">
                  <c:v>2383.2653061224491</c:v>
                </c:pt>
                <c:pt idx="196">
                  <c:v>2383.223350253807</c:v>
                </c:pt>
                <c:pt idx="197">
                  <c:v>2383.181818181818</c:v>
                </c:pt>
                <c:pt idx="198">
                  <c:v>2383.140703517588</c:v>
                </c:pt>
                <c:pt idx="199">
                  <c:v>2383.1</c:v>
                </c:pt>
                <c:pt idx="200">
                  <c:v>2383.0597014925374</c:v>
                </c:pt>
                <c:pt idx="201">
                  <c:v>2383.0198019801978</c:v>
                </c:pt>
                <c:pt idx="202">
                  <c:v>2382.9802955665023</c:v>
                </c:pt>
                <c:pt idx="203">
                  <c:v>2382.9411764705883</c:v>
                </c:pt>
                <c:pt idx="204">
                  <c:v>2382.9024390243903</c:v>
                </c:pt>
                <c:pt idx="205">
                  <c:v>2382.8640776699031</c:v>
                </c:pt>
                <c:pt idx="206">
                  <c:v>2382.8260869565215</c:v>
                </c:pt>
                <c:pt idx="207">
                  <c:v>2382.7884615384614</c:v>
                </c:pt>
                <c:pt idx="208">
                  <c:v>2382.7511961722489</c:v>
                </c:pt>
                <c:pt idx="209">
                  <c:v>2382.7142857142858</c:v>
                </c:pt>
                <c:pt idx="210">
                  <c:v>2382.6777251184835</c:v>
                </c:pt>
                <c:pt idx="211">
                  <c:v>2382.6415094339623</c:v>
                </c:pt>
                <c:pt idx="212">
                  <c:v>2382.605633802817</c:v>
                </c:pt>
                <c:pt idx="213">
                  <c:v>2382.570093457944</c:v>
                </c:pt>
                <c:pt idx="214">
                  <c:v>2382.5348837209303</c:v>
                </c:pt>
                <c:pt idx="215">
                  <c:v>2382.5</c:v>
                </c:pt>
                <c:pt idx="216">
                  <c:v>2382.4654377880183</c:v>
                </c:pt>
                <c:pt idx="217">
                  <c:v>2382.4311926605506</c:v>
                </c:pt>
                <c:pt idx="218">
                  <c:v>2382.3972602739727</c:v>
                </c:pt>
                <c:pt idx="219">
                  <c:v>2382.3636363636365</c:v>
                </c:pt>
                <c:pt idx="220">
                  <c:v>2382.3303167420813</c:v>
                </c:pt>
                <c:pt idx="221">
                  <c:v>2382.2972972972975</c:v>
                </c:pt>
                <c:pt idx="222">
                  <c:v>2382.2645739910313</c:v>
                </c:pt>
                <c:pt idx="223">
                  <c:v>2382.2321428571427</c:v>
                </c:pt>
                <c:pt idx="224">
                  <c:v>2382.2222222222222</c:v>
                </c:pt>
                <c:pt idx="225">
                  <c:v>2382.212389380531</c:v>
                </c:pt>
                <c:pt idx="226">
                  <c:v>2382.2026431718064</c:v>
                </c:pt>
                <c:pt idx="227">
                  <c:v>2382.1929824561403</c:v>
                </c:pt>
                <c:pt idx="228">
                  <c:v>2382.1615720524019</c:v>
                </c:pt>
                <c:pt idx="229">
                  <c:v>2382.1304347826085</c:v>
                </c:pt>
                <c:pt idx="230">
                  <c:v>2382.0995670995671</c:v>
                </c:pt>
                <c:pt idx="231">
                  <c:v>2382.0689655172414</c:v>
                </c:pt>
                <c:pt idx="232">
                  <c:v>2382.038626609442</c:v>
                </c:pt>
                <c:pt idx="233">
                  <c:v>2382.0085470085469</c:v>
                </c:pt>
                <c:pt idx="234">
                  <c:v>2381.9787234042551</c:v>
                </c:pt>
                <c:pt idx="235">
                  <c:v>2381.9491525423728</c:v>
                </c:pt>
                <c:pt idx="236">
                  <c:v>2381.9198312236285</c:v>
                </c:pt>
                <c:pt idx="237">
                  <c:v>2381.8907563025209</c:v>
                </c:pt>
                <c:pt idx="238">
                  <c:v>2381.8619246861927</c:v>
                </c:pt>
                <c:pt idx="239">
                  <c:v>2381.8333333333335</c:v>
                </c:pt>
                <c:pt idx="240">
                  <c:v>2381.8049792531119</c:v>
                </c:pt>
                <c:pt idx="241">
                  <c:v>2381.7561983471073</c:v>
                </c:pt>
                <c:pt idx="242">
                  <c:v>2381.707818930041</c:v>
                </c:pt>
                <c:pt idx="243">
                  <c:v>2381.6803278688526</c:v>
                </c:pt>
                <c:pt idx="244">
                  <c:v>2381.6530612244896</c:v>
                </c:pt>
                <c:pt idx="245">
                  <c:v>2381.6260162601625</c:v>
                </c:pt>
                <c:pt idx="246">
                  <c:v>2381.5991902834007</c:v>
                </c:pt>
                <c:pt idx="247">
                  <c:v>2381.5725806451615</c:v>
                </c:pt>
                <c:pt idx="248">
                  <c:v>2381.5461847389556</c:v>
                </c:pt>
                <c:pt idx="249">
                  <c:v>2381.52</c:v>
                </c:pt>
                <c:pt idx="250">
                  <c:v>2381.4940239043826</c:v>
                </c:pt>
                <c:pt idx="251">
                  <c:v>2381.468253968254</c:v>
                </c:pt>
                <c:pt idx="252">
                  <c:v>2381.4426877470355</c:v>
                </c:pt>
                <c:pt idx="253">
                  <c:v>2381.4173228346458</c:v>
                </c:pt>
                <c:pt idx="254">
                  <c:v>2381.3921568627452</c:v>
                </c:pt>
                <c:pt idx="255">
                  <c:v>2381.3671875</c:v>
                </c:pt>
                <c:pt idx="256">
                  <c:v>2381.3424124513617</c:v>
                </c:pt>
                <c:pt idx="257">
                  <c:v>2381.3178294573645</c:v>
                </c:pt>
                <c:pt idx="258">
                  <c:v>2381.2934362934361</c:v>
                </c:pt>
                <c:pt idx="259">
                  <c:v>2381.2692307692309</c:v>
                </c:pt>
                <c:pt idx="260">
                  <c:v>2381.2452107279692</c:v>
                </c:pt>
                <c:pt idx="261">
                  <c:v>2381.2213740458014</c:v>
                </c:pt>
                <c:pt idx="262">
                  <c:v>2381.1977186311788</c:v>
                </c:pt>
                <c:pt idx="263">
                  <c:v>2381.1742424242425</c:v>
                </c:pt>
                <c:pt idx="264">
                  <c:v>2381.1509433962265</c:v>
                </c:pt>
                <c:pt idx="265">
                  <c:v>2381.1278195488721</c:v>
                </c:pt>
                <c:pt idx="266">
                  <c:v>2381.1048689138579</c:v>
                </c:pt>
                <c:pt idx="267">
                  <c:v>2381.0820895522388</c:v>
                </c:pt>
                <c:pt idx="268">
                  <c:v>2381.0594795539032</c:v>
                </c:pt>
                <c:pt idx="269">
                  <c:v>2381.037037037037</c:v>
                </c:pt>
                <c:pt idx="270">
                  <c:v>2381.0147601476015</c:v>
                </c:pt>
                <c:pt idx="271">
                  <c:v>2381.0110294117649</c:v>
                </c:pt>
                <c:pt idx="272">
                  <c:v>2381.0073260073259</c:v>
                </c:pt>
                <c:pt idx="273">
                  <c:v>2381.0036496350367</c:v>
                </c:pt>
                <c:pt idx="274">
                  <c:v>2381</c:v>
                </c:pt>
                <c:pt idx="275">
                  <c:v>2380.996376811594</c:v>
                </c:pt>
                <c:pt idx="276">
                  <c:v>2380.9927797833934</c:v>
                </c:pt>
                <c:pt idx="277">
                  <c:v>2380.9892086330933</c:v>
                </c:pt>
                <c:pt idx="278">
                  <c:v>2380.9856630824374</c:v>
                </c:pt>
                <c:pt idx="279">
                  <c:v>2380.9821428571427</c:v>
                </c:pt>
                <c:pt idx="280">
                  <c:v>2380.9786476868326</c:v>
                </c:pt>
                <c:pt idx="281">
                  <c:v>2380.9751773049647</c:v>
                </c:pt>
                <c:pt idx="282">
                  <c:v>2380.9717314487634</c:v>
                </c:pt>
                <c:pt idx="283">
                  <c:v>2380.9683098591549</c:v>
                </c:pt>
                <c:pt idx="284">
                  <c:v>2380.9649122807018</c:v>
                </c:pt>
                <c:pt idx="285">
                  <c:v>2380.9615384615386</c:v>
                </c:pt>
                <c:pt idx="286">
                  <c:v>2380.9581881533099</c:v>
                </c:pt>
                <c:pt idx="287">
                  <c:v>2380.9548611111113</c:v>
                </c:pt>
                <c:pt idx="288">
                  <c:v>2380.9515570934254</c:v>
                </c:pt>
                <c:pt idx="289">
                  <c:v>2380.9310344827586</c:v>
                </c:pt>
                <c:pt idx="290">
                  <c:v>2380.9106529209621</c:v>
                </c:pt>
                <c:pt idx="291">
                  <c:v>2380.8904109589039</c:v>
                </c:pt>
                <c:pt idx="292">
                  <c:v>2380.8703071672353</c:v>
                </c:pt>
                <c:pt idx="293">
                  <c:v>2380.8503401360545</c:v>
                </c:pt>
                <c:pt idx="294">
                  <c:v>2380.8305084745762</c:v>
                </c:pt>
                <c:pt idx="295">
                  <c:v>2380.8108108108108</c:v>
                </c:pt>
                <c:pt idx="296">
                  <c:v>2380.7912457912457</c:v>
                </c:pt>
                <c:pt idx="297">
                  <c:v>2380.7718120805371</c:v>
                </c:pt>
                <c:pt idx="298">
                  <c:v>2380.7692307692309</c:v>
                </c:pt>
                <c:pt idx="299">
                  <c:v>2380.7666666666669</c:v>
                </c:pt>
                <c:pt idx="300">
                  <c:v>2380.7641196013287</c:v>
                </c:pt>
                <c:pt idx="301">
                  <c:v>2380.7450331125829</c:v>
                </c:pt>
                <c:pt idx="302">
                  <c:v>2380.7260726072609</c:v>
                </c:pt>
                <c:pt idx="303">
                  <c:v>2380.7072368421054</c:v>
                </c:pt>
                <c:pt idx="304">
                  <c:v>2380.688524590164</c:v>
                </c:pt>
                <c:pt idx="305">
                  <c:v>2380.669934640523</c:v>
                </c:pt>
                <c:pt idx="306">
                  <c:v>2380.6514657980456</c:v>
                </c:pt>
                <c:pt idx="307">
                  <c:v>2380.6331168831171</c:v>
                </c:pt>
                <c:pt idx="308">
                  <c:v>2380.6148867313914</c:v>
                </c:pt>
                <c:pt idx="309">
                  <c:v>2380.5967741935483</c:v>
                </c:pt>
                <c:pt idx="310">
                  <c:v>2380.5787781350482</c:v>
                </c:pt>
                <c:pt idx="311">
                  <c:v>2380.5608974358975</c:v>
                </c:pt>
                <c:pt idx="312">
                  <c:v>2380.5591054313099</c:v>
                </c:pt>
                <c:pt idx="313">
                  <c:v>2380.5414012738852</c:v>
                </c:pt>
                <c:pt idx="314">
                  <c:v>2380.5238095238096</c:v>
                </c:pt>
                <c:pt idx="315">
                  <c:v>2380.506329113924</c:v>
                </c:pt>
                <c:pt idx="316">
                  <c:v>2380.4889589905365</c:v>
                </c:pt>
                <c:pt idx="317">
                  <c:v>2380.4874213836479</c:v>
                </c:pt>
                <c:pt idx="318">
                  <c:v>2380.4858934169279</c:v>
                </c:pt>
                <c:pt idx="319">
                  <c:v>2380.484375</c:v>
                </c:pt>
                <c:pt idx="320">
                  <c:v>2380.4828660436137</c:v>
                </c:pt>
                <c:pt idx="321">
                  <c:v>2380.4813664596272</c:v>
                </c:pt>
                <c:pt idx="322">
                  <c:v>2380.4798761609909</c:v>
                </c:pt>
                <c:pt idx="323">
                  <c:v>2380.4475308641977</c:v>
                </c:pt>
                <c:pt idx="324">
                  <c:v>2380.4153846153845</c:v>
                </c:pt>
                <c:pt idx="325">
                  <c:v>2380.3834355828221</c:v>
                </c:pt>
                <c:pt idx="326">
                  <c:v>2380.3516819571864</c:v>
                </c:pt>
                <c:pt idx="327">
                  <c:v>2380.3201219512193</c:v>
                </c:pt>
                <c:pt idx="328">
                  <c:v>2380.288753799392</c:v>
                </c:pt>
                <c:pt idx="329">
                  <c:v>2380.257575757576</c:v>
                </c:pt>
                <c:pt idx="330">
                  <c:v>2380.226586102719</c:v>
                </c:pt>
                <c:pt idx="331">
                  <c:v>2380.1957831325303</c:v>
                </c:pt>
                <c:pt idx="332">
                  <c:v>2380.165165165165</c:v>
                </c:pt>
                <c:pt idx="333">
                  <c:v>2380.1347305389222</c:v>
                </c:pt>
                <c:pt idx="334">
                  <c:v>2380.1044776119402</c:v>
                </c:pt>
                <c:pt idx="335">
                  <c:v>2380.0744047619046</c:v>
                </c:pt>
                <c:pt idx="336">
                  <c:v>2380.0445103857569</c:v>
                </c:pt>
                <c:pt idx="337">
                  <c:v>2380.0295857988167</c:v>
                </c:pt>
                <c:pt idx="338">
                  <c:v>2380.014749262537</c:v>
                </c:pt>
                <c:pt idx="339">
                  <c:v>2380</c:v>
                </c:pt>
                <c:pt idx="340">
                  <c:v>2379.9853372434018</c:v>
                </c:pt>
                <c:pt idx="341">
                  <c:v>2379.9707602339181</c:v>
                </c:pt>
                <c:pt idx="342">
                  <c:v>2379.9562682215742</c:v>
                </c:pt>
                <c:pt idx="343">
                  <c:v>2379.9418604651164</c:v>
                </c:pt>
                <c:pt idx="344">
                  <c:v>2379.927536231884</c:v>
                </c:pt>
                <c:pt idx="345">
                  <c:v>2379.9132947976877</c:v>
                </c:pt>
                <c:pt idx="346">
                  <c:v>2379.8991354466857</c:v>
                </c:pt>
                <c:pt idx="347">
                  <c:v>2379.8850574712642</c:v>
                </c:pt>
                <c:pt idx="348">
                  <c:v>2379.8710601719199</c:v>
                </c:pt>
                <c:pt idx="349">
                  <c:v>2379.8571428571427</c:v>
                </c:pt>
                <c:pt idx="350">
                  <c:v>2379.8433048433048</c:v>
                </c:pt>
                <c:pt idx="351">
                  <c:v>2379.8295454545455</c:v>
                </c:pt>
                <c:pt idx="352">
                  <c:v>2379.8158640226629</c:v>
                </c:pt>
                <c:pt idx="353">
                  <c:v>2379.8022598870057</c:v>
                </c:pt>
                <c:pt idx="354">
                  <c:v>2379.788732394366</c:v>
                </c:pt>
                <c:pt idx="355">
                  <c:v>2379.7752808988762</c:v>
                </c:pt>
                <c:pt idx="356">
                  <c:v>2379.7619047619046</c:v>
                </c:pt>
                <c:pt idx="357">
                  <c:v>2379.7486033519554</c:v>
                </c:pt>
                <c:pt idx="358">
                  <c:v>2379.7353760445681</c:v>
                </c:pt>
                <c:pt idx="359">
                  <c:v>2379.7222222222222</c:v>
                </c:pt>
                <c:pt idx="360">
                  <c:v>2379.7091412742384</c:v>
                </c:pt>
                <c:pt idx="361">
                  <c:v>2379.6961325966849</c:v>
                </c:pt>
                <c:pt idx="362">
                  <c:v>2379.6831955922867</c:v>
                </c:pt>
                <c:pt idx="363">
                  <c:v>2379.6703296703295</c:v>
                </c:pt>
                <c:pt idx="364">
                  <c:v>2379.6575342465753</c:v>
                </c:pt>
                <c:pt idx="365">
                  <c:v>2379.6448087431695</c:v>
                </c:pt>
                <c:pt idx="366">
                  <c:v>2379.632152588556</c:v>
                </c:pt>
                <c:pt idx="367">
                  <c:v>2379.633152173913</c:v>
                </c:pt>
                <c:pt idx="368">
                  <c:v>2379.6341463414633</c:v>
                </c:pt>
                <c:pt idx="369">
                  <c:v>2379.635135135135</c:v>
                </c:pt>
                <c:pt idx="370">
                  <c:v>2379.6361185983828</c:v>
                </c:pt>
                <c:pt idx="371">
                  <c:v>2379.6370967741937</c:v>
                </c:pt>
                <c:pt idx="372">
                  <c:v>2379.6246648793567</c:v>
                </c:pt>
                <c:pt idx="373">
                  <c:v>2379.6122994652405</c:v>
                </c:pt>
                <c:pt idx="374">
                  <c:v>2379.6</c:v>
                </c:pt>
                <c:pt idx="375">
                  <c:v>2379.5877659574467</c:v>
                </c:pt>
                <c:pt idx="376">
                  <c:v>2379.575596816976</c:v>
                </c:pt>
                <c:pt idx="377">
                  <c:v>2379.5502645502647</c:v>
                </c:pt>
                <c:pt idx="378">
                  <c:v>2379.5250659630606</c:v>
                </c:pt>
                <c:pt idx="379">
                  <c:v>2379.5</c:v>
                </c:pt>
                <c:pt idx="380">
                  <c:v>2379.475065616798</c:v>
                </c:pt>
                <c:pt idx="381">
                  <c:v>2379.4502617801049</c:v>
                </c:pt>
                <c:pt idx="382">
                  <c:v>2379.4255874673631</c:v>
                </c:pt>
                <c:pt idx="383">
                  <c:v>2379.4010416666665</c:v>
                </c:pt>
                <c:pt idx="384">
                  <c:v>2379.3896103896104</c:v>
                </c:pt>
                <c:pt idx="385">
                  <c:v>2379.3782383419689</c:v>
                </c:pt>
                <c:pt idx="386">
                  <c:v>2379.3669250645994</c:v>
                </c:pt>
                <c:pt idx="387">
                  <c:v>2379.355670103093</c:v>
                </c:pt>
                <c:pt idx="388">
                  <c:v>2379.3444730077122</c:v>
                </c:pt>
                <c:pt idx="389">
                  <c:v>2379.3333333333335</c:v>
                </c:pt>
                <c:pt idx="390">
                  <c:v>2379.3222506393863</c:v>
                </c:pt>
                <c:pt idx="391">
                  <c:v>2379.3112244897961</c:v>
                </c:pt>
                <c:pt idx="392">
                  <c:v>2379.3002544529263</c:v>
                </c:pt>
                <c:pt idx="393">
                  <c:v>2379.2893401015231</c:v>
                </c:pt>
                <c:pt idx="394">
                  <c:v>2379.2784810126582</c:v>
                </c:pt>
                <c:pt idx="395">
                  <c:v>2379.2676767676767</c:v>
                </c:pt>
                <c:pt idx="396">
                  <c:v>2379.2443324937026</c:v>
                </c:pt>
                <c:pt idx="397">
                  <c:v>2379.221105527638</c:v>
                </c:pt>
                <c:pt idx="398">
                  <c:v>2379.1979949874685</c:v>
                </c:pt>
                <c:pt idx="399">
                  <c:v>2379.1750000000002</c:v>
                </c:pt>
                <c:pt idx="400">
                  <c:v>2379.1521197007482</c:v>
                </c:pt>
                <c:pt idx="401">
                  <c:v>2379.1293532338309</c:v>
                </c:pt>
                <c:pt idx="402">
                  <c:v>2379.106699751861</c:v>
                </c:pt>
                <c:pt idx="403">
                  <c:v>2379.0717821782177</c:v>
                </c:pt>
                <c:pt idx="404">
                  <c:v>2379.037037037037</c:v>
                </c:pt>
                <c:pt idx="405">
                  <c:v>2379.0147783251232</c:v>
                </c:pt>
                <c:pt idx="406">
                  <c:v>2378.9926289926289</c:v>
                </c:pt>
                <c:pt idx="407">
                  <c:v>2378.9583333333335</c:v>
                </c:pt>
                <c:pt idx="408">
                  <c:v>2378.9242053789731</c:v>
                </c:pt>
                <c:pt idx="409">
                  <c:v>2378.8902439024391</c:v>
                </c:pt>
                <c:pt idx="410">
                  <c:v>2378.8564476885645</c:v>
                </c:pt>
                <c:pt idx="411">
                  <c:v>2378.8349514563106</c:v>
                </c:pt>
                <c:pt idx="412">
                  <c:v>2378.8135593220341</c:v>
                </c:pt>
                <c:pt idx="413">
                  <c:v>2378.7922705314008</c:v>
                </c:pt>
                <c:pt idx="414">
                  <c:v>2378.7710843373493</c:v>
                </c:pt>
                <c:pt idx="415">
                  <c:v>2378.75</c:v>
                </c:pt>
                <c:pt idx="416">
                  <c:v>2378.7290167865708</c:v>
                </c:pt>
                <c:pt idx="417">
                  <c:v>2378.7081339712918</c:v>
                </c:pt>
                <c:pt idx="418">
                  <c:v>2378.6873508353224</c:v>
                </c:pt>
                <c:pt idx="419">
                  <c:v>2378.6666666666665</c:v>
                </c:pt>
                <c:pt idx="420">
                  <c:v>2378.6460807600952</c:v>
                </c:pt>
                <c:pt idx="421">
                  <c:v>2378.6255924170614</c:v>
                </c:pt>
                <c:pt idx="422">
                  <c:v>2378.6052009456266</c:v>
                </c:pt>
                <c:pt idx="423">
                  <c:v>2378.5849056603774</c:v>
                </c:pt>
                <c:pt idx="424">
                  <c:v>2378.5647058823529</c:v>
                </c:pt>
                <c:pt idx="425">
                  <c:v>2378.5446009389671</c:v>
                </c:pt>
                <c:pt idx="426">
                  <c:v>2378.5245901639346</c:v>
                </c:pt>
                <c:pt idx="427">
                  <c:v>2378.5046728971961</c:v>
                </c:pt>
                <c:pt idx="428">
                  <c:v>2378.4848484848485</c:v>
                </c:pt>
                <c:pt idx="429">
                  <c:v>2378.4651162790697</c:v>
                </c:pt>
                <c:pt idx="430">
                  <c:v>2378.445475638051</c:v>
                </c:pt>
                <c:pt idx="431">
                  <c:v>2378.4143518518517</c:v>
                </c:pt>
                <c:pt idx="432">
                  <c:v>2378.3833718244805</c:v>
                </c:pt>
                <c:pt idx="433">
                  <c:v>2378.352534562212</c:v>
                </c:pt>
                <c:pt idx="434">
                  <c:v>2378.32183908046</c:v>
                </c:pt>
                <c:pt idx="435">
                  <c:v>2378.2912844036696</c:v>
                </c:pt>
                <c:pt idx="436">
                  <c:v>2378.2608695652175</c:v>
                </c:pt>
                <c:pt idx="437">
                  <c:v>2378.2305936073058</c:v>
                </c:pt>
                <c:pt idx="438">
                  <c:v>2378.2004555808658</c:v>
                </c:pt>
                <c:pt idx="439">
                  <c:v>2378.1704545454545</c:v>
                </c:pt>
                <c:pt idx="440">
                  <c:v>2378.140589569161</c:v>
                </c:pt>
                <c:pt idx="441">
                  <c:v>2378.1221719457012</c:v>
                </c:pt>
                <c:pt idx="442">
                  <c:v>2378.1038374717832</c:v>
                </c:pt>
                <c:pt idx="443">
                  <c:v>2378.0855855855857</c:v>
                </c:pt>
                <c:pt idx="444">
                  <c:v>2378.067415730337</c:v>
                </c:pt>
                <c:pt idx="445">
                  <c:v>2378.0493273542602</c:v>
                </c:pt>
                <c:pt idx="446">
                  <c:v>2378.0313199105144</c:v>
                </c:pt>
                <c:pt idx="447">
                  <c:v>2378.0133928571427</c:v>
                </c:pt>
                <c:pt idx="448">
                  <c:v>2377.9955456570156</c:v>
                </c:pt>
                <c:pt idx="449">
                  <c:v>2377.9777777777776</c:v>
                </c:pt>
                <c:pt idx="450">
                  <c:v>2377.960088691796</c:v>
                </c:pt>
                <c:pt idx="451">
                  <c:v>2377.9424778761063</c:v>
                </c:pt>
                <c:pt idx="452">
                  <c:v>2377.9249448123619</c:v>
                </c:pt>
                <c:pt idx="453">
                  <c:v>2377.9074889867843</c:v>
                </c:pt>
                <c:pt idx="454">
                  <c:v>2377.8901098901097</c:v>
                </c:pt>
                <c:pt idx="455">
                  <c:v>2377.8728070175439</c:v>
                </c:pt>
                <c:pt idx="456">
                  <c:v>2377.8555798687089</c:v>
                </c:pt>
                <c:pt idx="457">
                  <c:v>2377.8384279475981</c:v>
                </c:pt>
                <c:pt idx="458">
                  <c:v>2377.8213507625273</c:v>
                </c:pt>
                <c:pt idx="459">
                  <c:v>2377.804347826087</c:v>
                </c:pt>
                <c:pt idx="460">
                  <c:v>2377.7874186550976</c:v>
                </c:pt>
                <c:pt idx="461">
                  <c:v>2377.7705627705627</c:v>
                </c:pt>
                <c:pt idx="462">
                  <c:v>2377.7537796976244</c:v>
                </c:pt>
                <c:pt idx="463">
                  <c:v>2377.7370689655172</c:v>
                </c:pt>
                <c:pt idx="464">
                  <c:v>2377.7204301075267</c:v>
                </c:pt>
                <c:pt idx="465">
                  <c:v>2377.7038626609442</c:v>
                </c:pt>
                <c:pt idx="466">
                  <c:v>2377.6873661670234</c:v>
                </c:pt>
                <c:pt idx="467">
                  <c:v>2377.6602564102564</c:v>
                </c:pt>
                <c:pt idx="468">
                  <c:v>2377.633262260128</c:v>
                </c:pt>
                <c:pt idx="469">
                  <c:v>2377.6063829787236</c:v>
                </c:pt>
                <c:pt idx="470">
                  <c:v>2377.5796178343949</c:v>
                </c:pt>
                <c:pt idx="471">
                  <c:v>2377.5529661016949</c:v>
                </c:pt>
                <c:pt idx="472">
                  <c:v>2377.5264270613106</c:v>
                </c:pt>
                <c:pt idx="473">
                  <c:v>2377.5</c:v>
                </c:pt>
                <c:pt idx="474">
                  <c:v>2377.4736842105262</c:v>
                </c:pt>
                <c:pt idx="475">
                  <c:v>2377.4474789915967</c:v>
                </c:pt>
                <c:pt idx="476">
                  <c:v>2377.4318658280922</c:v>
                </c:pt>
                <c:pt idx="477">
                  <c:v>2377.4163179916318</c:v>
                </c:pt>
                <c:pt idx="478">
                  <c:v>2377.4008350730687</c:v>
                </c:pt>
                <c:pt idx="479">
                  <c:v>2377.3854166666665</c:v>
                </c:pt>
                <c:pt idx="480">
                  <c:v>2377.3700623700624</c:v>
                </c:pt>
                <c:pt idx="481">
                  <c:v>2377.3547717842325</c:v>
                </c:pt>
                <c:pt idx="482">
                  <c:v>2377.3395445134574</c:v>
                </c:pt>
                <c:pt idx="483">
                  <c:v>2377.3140495867769</c:v>
                </c:pt>
                <c:pt idx="484">
                  <c:v>2377.2886597938145</c:v>
                </c:pt>
                <c:pt idx="485">
                  <c:v>2377.2633744855966</c:v>
                </c:pt>
                <c:pt idx="486">
                  <c:v>2377.2381930184806</c:v>
                </c:pt>
                <c:pt idx="487">
                  <c:v>2377.2131147540986</c:v>
                </c:pt>
                <c:pt idx="488">
                  <c:v>2377.1983640081799</c:v>
                </c:pt>
                <c:pt idx="489">
                  <c:v>2377.1734693877552</c:v>
                </c:pt>
                <c:pt idx="490">
                  <c:v>2377.1486761710794</c:v>
                </c:pt>
                <c:pt idx="491">
                  <c:v>2377.1239837398375</c:v>
                </c:pt>
                <c:pt idx="492">
                  <c:v>2377.0993914807304</c:v>
                </c:pt>
                <c:pt idx="493">
                  <c:v>2377.0748987854249</c:v>
                </c:pt>
                <c:pt idx="494">
                  <c:v>2377.0505050505049</c:v>
                </c:pt>
                <c:pt idx="495">
                  <c:v>2377.0262096774195</c:v>
                </c:pt>
                <c:pt idx="496">
                  <c:v>2377.0020120724348</c:v>
                </c:pt>
                <c:pt idx="497">
                  <c:v>2376.9779116465866</c:v>
                </c:pt>
                <c:pt idx="498">
                  <c:v>2376.9539078156313</c:v>
                </c:pt>
                <c:pt idx="499">
                  <c:v>2376.9299999999998</c:v>
                </c:pt>
                <c:pt idx="500">
                  <c:v>2376.9061876247506</c:v>
                </c:pt>
                <c:pt idx="501">
                  <c:v>2376.8824701195217</c:v>
                </c:pt>
                <c:pt idx="502">
                  <c:v>2376.8588469184892</c:v>
                </c:pt>
                <c:pt idx="503">
                  <c:v>2376.8353174603176</c:v>
                </c:pt>
                <c:pt idx="504">
                  <c:v>2376.8118811881186</c:v>
                </c:pt>
                <c:pt idx="505">
                  <c:v>2376.788537549407</c:v>
                </c:pt>
                <c:pt idx="506">
                  <c:v>2376.7652859960554</c:v>
                </c:pt>
                <c:pt idx="507">
                  <c:v>2376.7421259842517</c:v>
                </c:pt>
                <c:pt idx="508">
                  <c:v>2376.7190569744598</c:v>
                </c:pt>
                <c:pt idx="509">
                  <c:v>2376.705882352941</c:v>
                </c:pt>
                <c:pt idx="510">
                  <c:v>2376.6927592954989</c:v>
                </c:pt>
                <c:pt idx="511">
                  <c:v>2376.6796875</c:v>
                </c:pt>
                <c:pt idx="512">
                  <c:v>2376.6666666666665</c:v>
                </c:pt>
                <c:pt idx="513">
                  <c:v>2376.6439688715955</c:v>
                </c:pt>
                <c:pt idx="514">
                  <c:v>2376.6213592233012</c:v>
                </c:pt>
                <c:pt idx="515">
                  <c:v>2376.5988372093025</c:v>
                </c:pt>
                <c:pt idx="516">
                  <c:v>2376.5764023210832</c:v>
                </c:pt>
                <c:pt idx="517">
                  <c:v>2376.5540540540542</c:v>
                </c:pt>
                <c:pt idx="518">
                  <c:v>2376.5414258188825</c:v>
                </c:pt>
                <c:pt idx="519">
                  <c:v>2376.5288461538462</c:v>
                </c:pt>
                <c:pt idx="520">
                  <c:v>2376.5163147792705</c:v>
                </c:pt>
                <c:pt idx="521">
                  <c:v>2376.5038314176245</c:v>
                </c:pt>
                <c:pt idx="522">
                  <c:v>2376.4913957934991</c:v>
                </c:pt>
                <c:pt idx="523">
                  <c:v>2376.4790076335876</c:v>
                </c:pt>
                <c:pt idx="524">
                  <c:v>2376.4666666666667</c:v>
                </c:pt>
                <c:pt idx="525">
                  <c:v>2376.4543726235743</c:v>
                </c:pt>
                <c:pt idx="526">
                  <c:v>2376.4421252371917</c:v>
                </c:pt>
                <c:pt idx="527">
                  <c:v>2376.429924242424</c:v>
                </c:pt>
                <c:pt idx="528">
                  <c:v>2376.4177693761817</c:v>
                </c:pt>
                <c:pt idx="529">
                  <c:v>2376.4056603773583</c:v>
                </c:pt>
                <c:pt idx="530">
                  <c:v>2376.3935969868171</c:v>
                </c:pt>
                <c:pt idx="531">
                  <c:v>2376.3815789473683</c:v>
                </c:pt>
                <c:pt idx="532">
                  <c:v>2376.3696060037523</c:v>
                </c:pt>
                <c:pt idx="533">
                  <c:v>2376.3576779026216</c:v>
                </c:pt>
                <c:pt idx="534">
                  <c:v>2376.3457943925232</c:v>
                </c:pt>
                <c:pt idx="535">
                  <c:v>2376.3339552238808</c:v>
                </c:pt>
                <c:pt idx="536">
                  <c:v>2376.3221601489759</c:v>
                </c:pt>
                <c:pt idx="537">
                  <c:v>2376.3104089219332</c:v>
                </c:pt>
                <c:pt idx="538">
                  <c:v>2376.2987012987014</c:v>
                </c:pt>
                <c:pt idx="539">
                  <c:v>2376.287037037037</c:v>
                </c:pt>
                <c:pt idx="540">
                  <c:v>2376.2754158964881</c:v>
                </c:pt>
                <c:pt idx="541">
                  <c:v>2376.2638376383766</c:v>
                </c:pt>
                <c:pt idx="542">
                  <c:v>2376.2523020257827</c:v>
                </c:pt>
                <c:pt idx="543">
                  <c:v>2376.231617647059</c:v>
                </c:pt>
                <c:pt idx="544">
                  <c:v>2376.211009174312</c:v>
                </c:pt>
                <c:pt idx="545">
                  <c:v>2376.1813186813188</c:v>
                </c:pt>
                <c:pt idx="546">
                  <c:v>2376.1608775137111</c:v>
                </c:pt>
                <c:pt idx="547">
                  <c:v>2376.1405109489051</c:v>
                </c:pt>
                <c:pt idx="548">
                  <c:v>2376.1202185792349</c:v>
                </c:pt>
                <c:pt idx="549">
                  <c:v>2376.1</c:v>
                </c:pt>
                <c:pt idx="550">
                  <c:v>2376.0798548094372</c:v>
                </c:pt>
                <c:pt idx="551">
                  <c:v>2376.0597826086955</c:v>
                </c:pt>
                <c:pt idx="552">
                  <c:v>2376.0397830018082</c:v>
                </c:pt>
                <c:pt idx="553">
                  <c:v>2376.0198555956677</c:v>
                </c:pt>
                <c:pt idx="554">
                  <c:v>2376</c:v>
                </c:pt>
                <c:pt idx="555">
                  <c:v>2375.9712230215828</c:v>
                </c:pt>
                <c:pt idx="556">
                  <c:v>2375.951526032316</c:v>
                </c:pt>
                <c:pt idx="557">
                  <c:v>2375.9229390681003</c:v>
                </c:pt>
                <c:pt idx="558">
                  <c:v>2375.8944543828266</c:v>
                </c:pt>
                <c:pt idx="559">
                  <c:v>2375.8660714285716</c:v>
                </c:pt>
                <c:pt idx="560">
                  <c:v>2375.8377896613192</c:v>
                </c:pt>
                <c:pt idx="561">
                  <c:v>2375.8096085409252</c:v>
                </c:pt>
                <c:pt idx="562">
                  <c:v>2375.7815275310836</c:v>
                </c:pt>
                <c:pt idx="563">
                  <c:v>2375.7535460992908</c:v>
                </c:pt>
                <c:pt idx="564">
                  <c:v>2375.7256637168143</c:v>
                </c:pt>
                <c:pt idx="565">
                  <c:v>2375.6978798586574</c:v>
                </c:pt>
                <c:pt idx="566">
                  <c:v>2375.6701940035273</c:v>
                </c:pt>
                <c:pt idx="567">
                  <c:v>2375.6426056338028</c:v>
                </c:pt>
                <c:pt idx="568">
                  <c:v>2375.6151142355011</c:v>
                </c:pt>
                <c:pt idx="569">
                  <c:v>2375.5877192982457</c:v>
                </c:pt>
                <c:pt idx="570">
                  <c:v>2375.5691768826618</c:v>
                </c:pt>
                <c:pt idx="571">
                  <c:v>2375.5506993006993</c:v>
                </c:pt>
                <c:pt idx="572">
                  <c:v>2375.5322862129146</c:v>
                </c:pt>
                <c:pt idx="573">
                  <c:v>2375.51393728223</c:v>
                </c:pt>
                <c:pt idx="574">
                  <c:v>2375.4956521739132</c:v>
                </c:pt>
                <c:pt idx="575">
                  <c:v>2375.4774305555557</c:v>
                </c:pt>
                <c:pt idx="576">
                  <c:v>2375.4592720970536</c:v>
                </c:pt>
                <c:pt idx="577">
                  <c:v>2375.4411764705883</c:v>
                </c:pt>
                <c:pt idx="578">
                  <c:v>2375.4231433506043</c:v>
                </c:pt>
                <c:pt idx="579">
                  <c:v>2375.405172413793</c:v>
                </c:pt>
                <c:pt idx="580">
                  <c:v>2375.3872633390706</c:v>
                </c:pt>
                <c:pt idx="581">
                  <c:v>2375.36941580756</c:v>
                </c:pt>
                <c:pt idx="582">
                  <c:v>2375.3516295025729</c:v>
                </c:pt>
                <c:pt idx="583">
                  <c:v>2375.3339041095892</c:v>
                </c:pt>
                <c:pt idx="584">
                  <c:v>2375.3162393162393</c:v>
                </c:pt>
                <c:pt idx="585">
                  <c:v>2375.2986348122868</c:v>
                </c:pt>
                <c:pt idx="586">
                  <c:v>2375.2725724020443</c:v>
                </c:pt>
                <c:pt idx="587">
                  <c:v>2375.2465986394559</c:v>
                </c:pt>
                <c:pt idx="588">
                  <c:v>2375.2207130730053</c:v>
                </c:pt>
                <c:pt idx="589">
                  <c:v>2375.2033898305085</c:v>
                </c:pt>
                <c:pt idx="590">
                  <c:v>2375.1945854483924</c:v>
                </c:pt>
                <c:pt idx="591">
                  <c:v>2375.1858108108108</c:v>
                </c:pt>
                <c:pt idx="592">
                  <c:v>2375.1770657672851</c:v>
                </c:pt>
                <c:pt idx="593">
                  <c:v>2375.1683501683501</c:v>
                </c:pt>
                <c:pt idx="594">
                  <c:v>2375.159663865546</c:v>
                </c:pt>
                <c:pt idx="595">
                  <c:v>2375.1510067114095</c:v>
                </c:pt>
                <c:pt idx="596">
                  <c:v>2375.1340033500837</c:v>
                </c:pt>
                <c:pt idx="597">
                  <c:v>2375.1170568561874</c:v>
                </c:pt>
                <c:pt idx="598">
                  <c:v>2375.1001669449083</c:v>
                </c:pt>
                <c:pt idx="599">
                  <c:v>2375.0833333333335</c:v>
                </c:pt>
                <c:pt idx="600">
                  <c:v>2375.0665557404327</c:v>
                </c:pt>
                <c:pt idx="601">
                  <c:v>2375.0415282392028</c:v>
                </c:pt>
                <c:pt idx="602">
                  <c:v>2375.0165837479271</c:v>
                </c:pt>
                <c:pt idx="603">
                  <c:v>2374.9917218543046</c:v>
                </c:pt>
                <c:pt idx="604">
                  <c:v>2374.9669421487602</c:v>
                </c:pt>
                <c:pt idx="605">
                  <c:v>2374.9422442244227</c:v>
                </c:pt>
                <c:pt idx="606">
                  <c:v>2374.9176276771004</c:v>
                </c:pt>
                <c:pt idx="607">
                  <c:v>2374.8930921052633</c:v>
                </c:pt>
                <c:pt idx="608">
                  <c:v>2374.8768472906404</c:v>
                </c:pt>
                <c:pt idx="609">
                  <c:v>2374.8606557377047</c:v>
                </c:pt>
                <c:pt idx="610">
                  <c:v>2374.8445171849426</c:v>
                </c:pt>
                <c:pt idx="611">
                  <c:v>2374.8284313725489</c:v>
                </c:pt>
                <c:pt idx="612">
                  <c:v>2374.8042414355627</c:v>
                </c:pt>
                <c:pt idx="613">
                  <c:v>2374.7801302931598</c:v>
                </c:pt>
                <c:pt idx="614">
                  <c:v>2374.7560975609758</c:v>
                </c:pt>
                <c:pt idx="615">
                  <c:v>2374.7402597402597</c:v>
                </c:pt>
                <c:pt idx="616">
                  <c:v>2374.7244732576987</c:v>
                </c:pt>
                <c:pt idx="617">
                  <c:v>2374.7087378640776</c:v>
                </c:pt>
                <c:pt idx="618">
                  <c:v>2374.6930533117934</c:v>
                </c:pt>
                <c:pt idx="619">
                  <c:v>2374.6774193548385</c:v>
                </c:pt>
                <c:pt idx="620">
                  <c:v>2374.6618357487923</c:v>
                </c:pt>
                <c:pt idx="621">
                  <c:v>2374.6463022508037</c:v>
                </c:pt>
                <c:pt idx="622">
                  <c:v>2374.6308186195824</c:v>
                </c:pt>
                <c:pt idx="623">
                  <c:v>2374.6153846153848</c:v>
                </c:pt>
                <c:pt idx="624">
                  <c:v>2374.6</c:v>
                </c:pt>
                <c:pt idx="625">
                  <c:v>2374.584664536741</c:v>
                </c:pt>
                <c:pt idx="626">
                  <c:v>2374.5693779904304</c:v>
                </c:pt>
                <c:pt idx="627">
                  <c:v>2374.5541401273886</c:v>
                </c:pt>
                <c:pt idx="628">
                  <c:v>2374.5389507154214</c:v>
                </c:pt>
                <c:pt idx="629">
                  <c:v>2374.5238095238096</c:v>
                </c:pt>
                <c:pt idx="630">
                  <c:v>2374.5087163232965</c:v>
                </c:pt>
                <c:pt idx="631">
                  <c:v>2374.493670886076</c:v>
                </c:pt>
                <c:pt idx="632">
                  <c:v>2374.4786729857819</c:v>
                </c:pt>
                <c:pt idx="633">
                  <c:v>2374.4637223974764</c:v>
                </c:pt>
                <c:pt idx="634">
                  <c:v>2374.4566929133857</c:v>
                </c:pt>
                <c:pt idx="635">
                  <c:v>2374.449685534591</c:v>
                </c:pt>
                <c:pt idx="636">
                  <c:v>2374.4427001569857</c:v>
                </c:pt>
                <c:pt idx="637">
                  <c:v>2374.435736677116</c:v>
                </c:pt>
                <c:pt idx="638">
                  <c:v>2374.4287949921754</c:v>
                </c:pt>
                <c:pt idx="639">
                  <c:v>2374.421875</c:v>
                </c:pt>
                <c:pt idx="640">
                  <c:v>2374.4149765990642</c:v>
                </c:pt>
                <c:pt idx="641">
                  <c:v>2374.4003115264795</c:v>
                </c:pt>
                <c:pt idx="642">
                  <c:v>2374.3856920684293</c:v>
                </c:pt>
                <c:pt idx="643">
                  <c:v>2374.3711180124224</c:v>
                </c:pt>
                <c:pt idx="644">
                  <c:v>2374.3565891472867</c:v>
                </c:pt>
                <c:pt idx="645">
                  <c:v>2374.3421052631579</c:v>
                </c:pt>
                <c:pt idx="646">
                  <c:v>2374.3276661514683</c:v>
                </c:pt>
                <c:pt idx="647">
                  <c:v>2374.3132716049381</c:v>
                </c:pt>
                <c:pt idx="648">
                  <c:v>2374.2912172573187</c:v>
                </c:pt>
                <c:pt idx="649">
                  <c:v>2374.2692307692309</c:v>
                </c:pt>
                <c:pt idx="650">
                  <c:v>2374.2473118279568</c:v>
                </c:pt>
                <c:pt idx="651">
                  <c:v>2374.2407975460123</c:v>
                </c:pt>
                <c:pt idx="652">
                  <c:v>2374.2266462480857</c:v>
                </c:pt>
                <c:pt idx="653">
                  <c:v>2374.2125382262998</c:v>
                </c:pt>
                <c:pt idx="654">
                  <c:v>2374.2061068702292</c:v>
                </c:pt>
                <c:pt idx="655">
                  <c:v>2374.1996951219512</c:v>
                </c:pt>
                <c:pt idx="656">
                  <c:v>2374.1933028919329</c:v>
                </c:pt>
                <c:pt idx="657">
                  <c:v>2374.1793313069907</c:v>
                </c:pt>
                <c:pt idx="658">
                  <c:v>2374.1654021244308</c:v>
                </c:pt>
                <c:pt idx="659">
                  <c:v>2374.151515151515</c:v>
                </c:pt>
                <c:pt idx="660">
                  <c:v>2374.1452344931922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DF6-4FCD-9870-9F25F5B9306D}"/>
            </c:ext>
          </c:extLst>
        </c:ser>
        <c:marker val="1"/>
        <c:axId val="322369408"/>
        <c:axId val="322370944"/>
      </c:lineChart>
      <c:catAx>
        <c:axId val="322369408"/>
        <c:scaling>
          <c:orientation val="minMax"/>
        </c:scaling>
        <c:delete val="1"/>
        <c:axPos val="b"/>
        <c:numFmt formatCode="General" sourceLinked="1"/>
        <c:tickLblPos val="nextTo"/>
        <c:crossAx val="322370944"/>
        <c:crosses val="autoZero"/>
        <c:auto val="1"/>
        <c:lblAlgn val="ctr"/>
        <c:lblOffset val="100"/>
        <c:tickMarkSkip val="60"/>
      </c:catAx>
      <c:valAx>
        <c:axId val="322370944"/>
        <c:scaling>
          <c:orientation val="minMax"/>
        </c:scaling>
        <c:axPos val="l"/>
        <c:majorGridlines/>
        <c:numFmt formatCode="General" sourceLinked="1"/>
        <c:tickLblPos val="nextTo"/>
        <c:crossAx val="322369408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6643163107086506E-3"/>
          <c:y val="7.3700052590943334E-3"/>
          <c:w val="0.8495388443496531"/>
          <c:h val="0.15955532679117032"/>
        </c:manualLayout>
      </c:layout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3">
        <a:lumMod val="40000"/>
        <a:lumOff val="60000"/>
      </a:schemeClr>
    </a:solidFill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4255495406824148"/>
          <c:y val="0.16263032225138518"/>
          <c:w val="0.83386701662292262"/>
          <c:h val="0.61591936424613591"/>
        </c:manualLayout>
      </c:layout>
      <c:lineChart>
        <c:grouping val="standard"/>
        <c:ser>
          <c:idx val="0"/>
          <c:order val="0"/>
          <c:tx>
            <c:strRef>
              <c:f>結算估價!$G$1</c:f>
              <c:strCache>
                <c:ptCount val="1"/>
                <c:pt idx="0">
                  <c:v>大立光</c:v>
                </c:pt>
              </c:strCache>
            </c:strRef>
          </c:tx>
          <c:marker>
            <c:symbol val="none"/>
          </c:marker>
          <c:cat>
            <c:numRef>
              <c:f>結算估價!$D$6:$D$666</c:f>
              <c:numCache>
                <c:formatCode>General</c:formatCode>
                <c:ptCount val="661"/>
                <c:pt idx="0">
                  <c:v>123000</c:v>
                </c:pt>
                <c:pt idx="1">
                  <c:v>123005</c:v>
                </c:pt>
                <c:pt idx="2">
                  <c:v>123010</c:v>
                </c:pt>
                <c:pt idx="3">
                  <c:v>123015</c:v>
                </c:pt>
                <c:pt idx="4">
                  <c:v>123020</c:v>
                </c:pt>
                <c:pt idx="5">
                  <c:v>123025</c:v>
                </c:pt>
                <c:pt idx="6">
                  <c:v>123030</c:v>
                </c:pt>
                <c:pt idx="7">
                  <c:v>123035</c:v>
                </c:pt>
                <c:pt idx="8">
                  <c:v>123040</c:v>
                </c:pt>
                <c:pt idx="9">
                  <c:v>123045</c:v>
                </c:pt>
                <c:pt idx="10">
                  <c:v>123050</c:v>
                </c:pt>
                <c:pt idx="11">
                  <c:v>123055</c:v>
                </c:pt>
                <c:pt idx="12">
                  <c:v>123100</c:v>
                </c:pt>
                <c:pt idx="13">
                  <c:v>123105</c:v>
                </c:pt>
                <c:pt idx="14">
                  <c:v>123110</c:v>
                </c:pt>
                <c:pt idx="15">
                  <c:v>123115</c:v>
                </c:pt>
                <c:pt idx="16">
                  <c:v>123120</c:v>
                </c:pt>
                <c:pt idx="17">
                  <c:v>123125</c:v>
                </c:pt>
                <c:pt idx="18">
                  <c:v>123130</c:v>
                </c:pt>
                <c:pt idx="19">
                  <c:v>123135</c:v>
                </c:pt>
                <c:pt idx="20">
                  <c:v>123140</c:v>
                </c:pt>
                <c:pt idx="21">
                  <c:v>123145</c:v>
                </c:pt>
                <c:pt idx="22">
                  <c:v>123150</c:v>
                </c:pt>
                <c:pt idx="23">
                  <c:v>123155</c:v>
                </c:pt>
                <c:pt idx="24">
                  <c:v>123200</c:v>
                </c:pt>
                <c:pt idx="25">
                  <c:v>123205</c:v>
                </c:pt>
                <c:pt idx="26">
                  <c:v>123210</c:v>
                </c:pt>
                <c:pt idx="27">
                  <c:v>123215</c:v>
                </c:pt>
                <c:pt idx="28">
                  <c:v>123220</c:v>
                </c:pt>
                <c:pt idx="29">
                  <c:v>123225</c:v>
                </c:pt>
                <c:pt idx="30">
                  <c:v>123230</c:v>
                </c:pt>
                <c:pt idx="31">
                  <c:v>123235</c:v>
                </c:pt>
                <c:pt idx="32">
                  <c:v>123240</c:v>
                </c:pt>
                <c:pt idx="33">
                  <c:v>123245</c:v>
                </c:pt>
                <c:pt idx="34">
                  <c:v>123250</c:v>
                </c:pt>
                <c:pt idx="35">
                  <c:v>123255</c:v>
                </c:pt>
                <c:pt idx="36">
                  <c:v>123300</c:v>
                </c:pt>
                <c:pt idx="37">
                  <c:v>123305</c:v>
                </c:pt>
                <c:pt idx="38">
                  <c:v>123310</c:v>
                </c:pt>
                <c:pt idx="39">
                  <c:v>123315</c:v>
                </c:pt>
                <c:pt idx="40">
                  <c:v>123320</c:v>
                </c:pt>
                <c:pt idx="41">
                  <c:v>123325</c:v>
                </c:pt>
                <c:pt idx="42">
                  <c:v>123330</c:v>
                </c:pt>
                <c:pt idx="43">
                  <c:v>123335</c:v>
                </c:pt>
                <c:pt idx="44">
                  <c:v>123340</c:v>
                </c:pt>
                <c:pt idx="45">
                  <c:v>123345</c:v>
                </c:pt>
                <c:pt idx="46">
                  <c:v>123350</c:v>
                </c:pt>
                <c:pt idx="47">
                  <c:v>123355</c:v>
                </c:pt>
                <c:pt idx="48">
                  <c:v>123400</c:v>
                </c:pt>
                <c:pt idx="49">
                  <c:v>123405</c:v>
                </c:pt>
                <c:pt idx="50">
                  <c:v>123410</c:v>
                </c:pt>
                <c:pt idx="51">
                  <c:v>123415</c:v>
                </c:pt>
                <c:pt idx="52">
                  <c:v>123420</c:v>
                </c:pt>
                <c:pt idx="53">
                  <c:v>123425</c:v>
                </c:pt>
                <c:pt idx="54">
                  <c:v>123430</c:v>
                </c:pt>
                <c:pt idx="55">
                  <c:v>123435</c:v>
                </c:pt>
                <c:pt idx="56">
                  <c:v>123440</c:v>
                </c:pt>
                <c:pt idx="57">
                  <c:v>123445</c:v>
                </c:pt>
                <c:pt idx="58">
                  <c:v>123450</c:v>
                </c:pt>
                <c:pt idx="59">
                  <c:v>123455</c:v>
                </c:pt>
                <c:pt idx="60">
                  <c:v>123500</c:v>
                </c:pt>
                <c:pt idx="61">
                  <c:v>123505</c:v>
                </c:pt>
                <c:pt idx="62">
                  <c:v>123510</c:v>
                </c:pt>
                <c:pt idx="63">
                  <c:v>123515</c:v>
                </c:pt>
                <c:pt idx="64">
                  <c:v>123520</c:v>
                </c:pt>
                <c:pt idx="65">
                  <c:v>123525</c:v>
                </c:pt>
                <c:pt idx="66">
                  <c:v>123530</c:v>
                </c:pt>
                <c:pt idx="67">
                  <c:v>123535</c:v>
                </c:pt>
                <c:pt idx="68">
                  <c:v>123540</c:v>
                </c:pt>
                <c:pt idx="69">
                  <c:v>123545</c:v>
                </c:pt>
                <c:pt idx="70">
                  <c:v>123550</c:v>
                </c:pt>
                <c:pt idx="71">
                  <c:v>123555</c:v>
                </c:pt>
                <c:pt idx="72">
                  <c:v>123600</c:v>
                </c:pt>
                <c:pt idx="73">
                  <c:v>123605</c:v>
                </c:pt>
                <c:pt idx="74">
                  <c:v>123610</c:v>
                </c:pt>
                <c:pt idx="75">
                  <c:v>123615</c:v>
                </c:pt>
                <c:pt idx="76">
                  <c:v>123620</c:v>
                </c:pt>
                <c:pt idx="77">
                  <c:v>123625</c:v>
                </c:pt>
                <c:pt idx="78">
                  <c:v>123630</c:v>
                </c:pt>
                <c:pt idx="79">
                  <c:v>123635</c:v>
                </c:pt>
                <c:pt idx="80">
                  <c:v>123640</c:v>
                </c:pt>
                <c:pt idx="81">
                  <c:v>123645</c:v>
                </c:pt>
                <c:pt idx="82">
                  <c:v>123650</c:v>
                </c:pt>
                <c:pt idx="83">
                  <c:v>123655</c:v>
                </c:pt>
                <c:pt idx="84">
                  <c:v>123700</c:v>
                </c:pt>
                <c:pt idx="85">
                  <c:v>123705</c:v>
                </c:pt>
                <c:pt idx="86">
                  <c:v>123710</c:v>
                </c:pt>
                <c:pt idx="87">
                  <c:v>123715</c:v>
                </c:pt>
                <c:pt idx="88">
                  <c:v>123720</c:v>
                </c:pt>
                <c:pt idx="89">
                  <c:v>123725</c:v>
                </c:pt>
                <c:pt idx="90">
                  <c:v>123730</c:v>
                </c:pt>
                <c:pt idx="91">
                  <c:v>123735</c:v>
                </c:pt>
                <c:pt idx="92">
                  <c:v>123740</c:v>
                </c:pt>
                <c:pt idx="93">
                  <c:v>123745</c:v>
                </c:pt>
                <c:pt idx="94">
                  <c:v>123750</c:v>
                </c:pt>
                <c:pt idx="95">
                  <c:v>123755</c:v>
                </c:pt>
                <c:pt idx="96">
                  <c:v>123800</c:v>
                </c:pt>
                <c:pt idx="97">
                  <c:v>123805</c:v>
                </c:pt>
                <c:pt idx="98">
                  <c:v>123810</c:v>
                </c:pt>
                <c:pt idx="99">
                  <c:v>123815</c:v>
                </c:pt>
                <c:pt idx="100">
                  <c:v>123820</c:v>
                </c:pt>
                <c:pt idx="101">
                  <c:v>123825</c:v>
                </c:pt>
                <c:pt idx="102">
                  <c:v>123830</c:v>
                </c:pt>
                <c:pt idx="103">
                  <c:v>123835</c:v>
                </c:pt>
                <c:pt idx="104">
                  <c:v>123840</c:v>
                </c:pt>
                <c:pt idx="105">
                  <c:v>123845</c:v>
                </c:pt>
                <c:pt idx="106">
                  <c:v>123850</c:v>
                </c:pt>
                <c:pt idx="107">
                  <c:v>123855</c:v>
                </c:pt>
                <c:pt idx="108">
                  <c:v>123900</c:v>
                </c:pt>
                <c:pt idx="109">
                  <c:v>123905</c:v>
                </c:pt>
                <c:pt idx="110">
                  <c:v>123910</c:v>
                </c:pt>
                <c:pt idx="111">
                  <c:v>123915</c:v>
                </c:pt>
                <c:pt idx="112">
                  <c:v>123920</c:v>
                </c:pt>
                <c:pt idx="113">
                  <c:v>123925</c:v>
                </c:pt>
                <c:pt idx="114">
                  <c:v>123930</c:v>
                </c:pt>
                <c:pt idx="115">
                  <c:v>123935</c:v>
                </c:pt>
                <c:pt idx="116">
                  <c:v>123940</c:v>
                </c:pt>
                <c:pt idx="117">
                  <c:v>123945</c:v>
                </c:pt>
                <c:pt idx="118">
                  <c:v>123950</c:v>
                </c:pt>
                <c:pt idx="119">
                  <c:v>123955</c:v>
                </c:pt>
                <c:pt idx="120">
                  <c:v>124000</c:v>
                </c:pt>
                <c:pt idx="121">
                  <c:v>124005</c:v>
                </c:pt>
                <c:pt idx="122">
                  <c:v>124010</c:v>
                </c:pt>
                <c:pt idx="123">
                  <c:v>124015</c:v>
                </c:pt>
                <c:pt idx="124">
                  <c:v>124020</c:v>
                </c:pt>
                <c:pt idx="125">
                  <c:v>124025</c:v>
                </c:pt>
                <c:pt idx="126">
                  <c:v>124030</c:v>
                </c:pt>
                <c:pt idx="127">
                  <c:v>124035</c:v>
                </c:pt>
                <c:pt idx="128">
                  <c:v>124040</c:v>
                </c:pt>
                <c:pt idx="129">
                  <c:v>124045</c:v>
                </c:pt>
                <c:pt idx="130">
                  <c:v>124050</c:v>
                </c:pt>
                <c:pt idx="131">
                  <c:v>124055</c:v>
                </c:pt>
                <c:pt idx="132">
                  <c:v>124100</c:v>
                </c:pt>
                <c:pt idx="133">
                  <c:v>124105</c:v>
                </c:pt>
                <c:pt idx="134">
                  <c:v>124110</c:v>
                </c:pt>
                <c:pt idx="135">
                  <c:v>124115</c:v>
                </c:pt>
                <c:pt idx="136">
                  <c:v>124120</c:v>
                </c:pt>
                <c:pt idx="137">
                  <c:v>124125</c:v>
                </c:pt>
                <c:pt idx="138">
                  <c:v>124130</c:v>
                </c:pt>
                <c:pt idx="139">
                  <c:v>124135</c:v>
                </c:pt>
                <c:pt idx="140">
                  <c:v>124140</c:v>
                </c:pt>
                <c:pt idx="141">
                  <c:v>124145</c:v>
                </c:pt>
                <c:pt idx="142">
                  <c:v>124150</c:v>
                </c:pt>
                <c:pt idx="143">
                  <c:v>124155</c:v>
                </c:pt>
                <c:pt idx="144">
                  <c:v>124200</c:v>
                </c:pt>
                <c:pt idx="145">
                  <c:v>124205</c:v>
                </c:pt>
                <c:pt idx="146">
                  <c:v>124210</c:v>
                </c:pt>
                <c:pt idx="147">
                  <c:v>124215</c:v>
                </c:pt>
                <c:pt idx="148">
                  <c:v>124220</c:v>
                </c:pt>
                <c:pt idx="149">
                  <c:v>124225</c:v>
                </c:pt>
                <c:pt idx="150">
                  <c:v>124230</c:v>
                </c:pt>
                <c:pt idx="151">
                  <c:v>124235</c:v>
                </c:pt>
                <c:pt idx="152">
                  <c:v>124240</c:v>
                </c:pt>
                <c:pt idx="153">
                  <c:v>124245</c:v>
                </c:pt>
                <c:pt idx="154">
                  <c:v>124250</c:v>
                </c:pt>
                <c:pt idx="155">
                  <c:v>124255</c:v>
                </c:pt>
                <c:pt idx="156">
                  <c:v>124300</c:v>
                </c:pt>
                <c:pt idx="157">
                  <c:v>124305</c:v>
                </c:pt>
                <c:pt idx="158">
                  <c:v>124310</c:v>
                </c:pt>
                <c:pt idx="159">
                  <c:v>124315</c:v>
                </c:pt>
                <c:pt idx="160">
                  <c:v>124320</c:v>
                </c:pt>
                <c:pt idx="161">
                  <c:v>124325</c:v>
                </c:pt>
                <c:pt idx="162">
                  <c:v>124330</c:v>
                </c:pt>
                <c:pt idx="163">
                  <c:v>124335</c:v>
                </c:pt>
                <c:pt idx="164">
                  <c:v>124340</c:v>
                </c:pt>
                <c:pt idx="165">
                  <c:v>124345</c:v>
                </c:pt>
                <c:pt idx="166">
                  <c:v>124350</c:v>
                </c:pt>
                <c:pt idx="167">
                  <c:v>124355</c:v>
                </c:pt>
                <c:pt idx="168">
                  <c:v>124400</c:v>
                </c:pt>
                <c:pt idx="169">
                  <c:v>124405</c:v>
                </c:pt>
                <c:pt idx="170">
                  <c:v>124410</c:v>
                </c:pt>
                <c:pt idx="171">
                  <c:v>124415</c:v>
                </c:pt>
                <c:pt idx="172">
                  <c:v>124420</c:v>
                </c:pt>
                <c:pt idx="173">
                  <c:v>124425</c:v>
                </c:pt>
                <c:pt idx="174">
                  <c:v>124430</c:v>
                </c:pt>
                <c:pt idx="175">
                  <c:v>124435</c:v>
                </c:pt>
                <c:pt idx="176">
                  <c:v>124440</c:v>
                </c:pt>
                <c:pt idx="177">
                  <c:v>124445</c:v>
                </c:pt>
                <c:pt idx="178">
                  <c:v>124450</c:v>
                </c:pt>
                <c:pt idx="179">
                  <c:v>124455</c:v>
                </c:pt>
                <c:pt idx="180">
                  <c:v>124500</c:v>
                </c:pt>
                <c:pt idx="181">
                  <c:v>124505</c:v>
                </c:pt>
                <c:pt idx="182">
                  <c:v>124510</c:v>
                </c:pt>
                <c:pt idx="183">
                  <c:v>124515</c:v>
                </c:pt>
                <c:pt idx="184">
                  <c:v>124520</c:v>
                </c:pt>
                <c:pt idx="185">
                  <c:v>124525</c:v>
                </c:pt>
                <c:pt idx="186">
                  <c:v>124530</c:v>
                </c:pt>
                <c:pt idx="187">
                  <c:v>124535</c:v>
                </c:pt>
                <c:pt idx="188">
                  <c:v>124540</c:v>
                </c:pt>
                <c:pt idx="189">
                  <c:v>124545</c:v>
                </c:pt>
                <c:pt idx="190">
                  <c:v>124550</c:v>
                </c:pt>
                <c:pt idx="191">
                  <c:v>124555</c:v>
                </c:pt>
                <c:pt idx="192">
                  <c:v>124600</c:v>
                </c:pt>
                <c:pt idx="193">
                  <c:v>124605</c:v>
                </c:pt>
                <c:pt idx="194">
                  <c:v>124610</c:v>
                </c:pt>
                <c:pt idx="195">
                  <c:v>124615</c:v>
                </c:pt>
                <c:pt idx="196">
                  <c:v>124620</c:v>
                </c:pt>
                <c:pt idx="197">
                  <c:v>124625</c:v>
                </c:pt>
                <c:pt idx="198">
                  <c:v>124630</c:v>
                </c:pt>
                <c:pt idx="199">
                  <c:v>124635</c:v>
                </c:pt>
                <c:pt idx="200">
                  <c:v>124640</c:v>
                </c:pt>
                <c:pt idx="201">
                  <c:v>124645</c:v>
                </c:pt>
                <c:pt idx="202">
                  <c:v>124650</c:v>
                </c:pt>
                <c:pt idx="203">
                  <c:v>124655</c:v>
                </c:pt>
                <c:pt idx="204">
                  <c:v>124700</c:v>
                </c:pt>
                <c:pt idx="205">
                  <c:v>124705</c:v>
                </c:pt>
                <c:pt idx="206">
                  <c:v>124710</c:v>
                </c:pt>
                <c:pt idx="207">
                  <c:v>124715</c:v>
                </c:pt>
                <c:pt idx="208">
                  <c:v>124720</c:v>
                </c:pt>
                <c:pt idx="209">
                  <c:v>124725</c:v>
                </c:pt>
                <c:pt idx="210">
                  <c:v>124730</c:v>
                </c:pt>
                <c:pt idx="211">
                  <c:v>124735</c:v>
                </c:pt>
                <c:pt idx="212">
                  <c:v>124740</c:v>
                </c:pt>
                <c:pt idx="213">
                  <c:v>124745</c:v>
                </c:pt>
                <c:pt idx="214">
                  <c:v>124750</c:v>
                </c:pt>
                <c:pt idx="215">
                  <c:v>124755</c:v>
                </c:pt>
                <c:pt idx="216">
                  <c:v>124800</c:v>
                </c:pt>
                <c:pt idx="217">
                  <c:v>124805</c:v>
                </c:pt>
                <c:pt idx="218">
                  <c:v>124810</c:v>
                </c:pt>
                <c:pt idx="219">
                  <c:v>124815</c:v>
                </c:pt>
                <c:pt idx="220">
                  <c:v>124820</c:v>
                </c:pt>
                <c:pt idx="221">
                  <c:v>124825</c:v>
                </c:pt>
                <c:pt idx="222">
                  <c:v>124830</c:v>
                </c:pt>
                <c:pt idx="223">
                  <c:v>124835</c:v>
                </c:pt>
                <c:pt idx="224">
                  <c:v>124840</c:v>
                </c:pt>
                <c:pt idx="225">
                  <c:v>124845</c:v>
                </c:pt>
                <c:pt idx="226">
                  <c:v>124850</c:v>
                </c:pt>
                <c:pt idx="227">
                  <c:v>124855</c:v>
                </c:pt>
                <c:pt idx="228">
                  <c:v>124900</c:v>
                </c:pt>
                <c:pt idx="229">
                  <c:v>124905</c:v>
                </c:pt>
                <c:pt idx="230">
                  <c:v>124910</c:v>
                </c:pt>
                <c:pt idx="231">
                  <c:v>124915</c:v>
                </c:pt>
                <c:pt idx="232">
                  <c:v>124920</c:v>
                </c:pt>
                <c:pt idx="233">
                  <c:v>124925</c:v>
                </c:pt>
                <c:pt idx="234">
                  <c:v>124930</c:v>
                </c:pt>
                <c:pt idx="235">
                  <c:v>124935</c:v>
                </c:pt>
                <c:pt idx="236">
                  <c:v>124940</c:v>
                </c:pt>
                <c:pt idx="237">
                  <c:v>124945</c:v>
                </c:pt>
                <c:pt idx="238">
                  <c:v>124950</c:v>
                </c:pt>
                <c:pt idx="239">
                  <c:v>124955</c:v>
                </c:pt>
                <c:pt idx="240">
                  <c:v>125000</c:v>
                </c:pt>
                <c:pt idx="241">
                  <c:v>125005</c:v>
                </c:pt>
                <c:pt idx="242">
                  <c:v>125010</c:v>
                </c:pt>
                <c:pt idx="243">
                  <c:v>125015</c:v>
                </c:pt>
                <c:pt idx="244">
                  <c:v>125020</c:v>
                </c:pt>
                <c:pt idx="245">
                  <c:v>125025</c:v>
                </c:pt>
                <c:pt idx="246">
                  <c:v>125030</c:v>
                </c:pt>
                <c:pt idx="247">
                  <c:v>125035</c:v>
                </c:pt>
                <c:pt idx="248">
                  <c:v>125040</c:v>
                </c:pt>
                <c:pt idx="249">
                  <c:v>125045</c:v>
                </c:pt>
                <c:pt idx="250">
                  <c:v>125050</c:v>
                </c:pt>
                <c:pt idx="251">
                  <c:v>125055</c:v>
                </c:pt>
                <c:pt idx="252">
                  <c:v>125100</c:v>
                </c:pt>
                <c:pt idx="253">
                  <c:v>125105</c:v>
                </c:pt>
                <c:pt idx="254">
                  <c:v>125110</c:v>
                </c:pt>
                <c:pt idx="255">
                  <c:v>125115</c:v>
                </c:pt>
                <c:pt idx="256">
                  <c:v>125120</c:v>
                </c:pt>
                <c:pt idx="257">
                  <c:v>125125</c:v>
                </c:pt>
                <c:pt idx="258">
                  <c:v>125130</c:v>
                </c:pt>
                <c:pt idx="259">
                  <c:v>125135</c:v>
                </c:pt>
                <c:pt idx="260">
                  <c:v>125140</c:v>
                </c:pt>
                <c:pt idx="261">
                  <c:v>125145</c:v>
                </c:pt>
                <c:pt idx="262">
                  <c:v>125150</c:v>
                </c:pt>
                <c:pt idx="263">
                  <c:v>125155</c:v>
                </c:pt>
                <c:pt idx="264">
                  <c:v>125200</c:v>
                </c:pt>
                <c:pt idx="265">
                  <c:v>125205</c:v>
                </c:pt>
                <c:pt idx="266">
                  <c:v>125210</c:v>
                </c:pt>
                <c:pt idx="267">
                  <c:v>125215</c:v>
                </c:pt>
                <c:pt idx="268">
                  <c:v>125220</c:v>
                </c:pt>
                <c:pt idx="269">
                  <c:v>125225</c:v>
                </c:pt>
                <c:pt idx="270">
                  <c:v>125230</c:v>
                </c:pt>
                <c:pt idx="271">
                  <c:v>125235</c:v>
                </c:pt>
                <c:pt idx="272">
                  <c:v>125240</c:v>
                </c:pt>
                <c:pt idx="273">
                  <c:v>125245</c:v>
                </c:pt>
                <c:pt idx="274">
                  <c:v>125250</c:v>
                </c:pt>
                <c:pt idx="275">
                  <c:v>125255</c:v>
                </c:pt>
                <c:pt idx="276">
                  <c:v>125300</c:v>
                </c:pt>
                <c:pt idx="277">
                  <c:v>125305</c:v>
                </c:pt>
                <c:pt idx="278">
                  <c:v>125310</c:v>
                </c:pt>
                <c:pt idx="279">
                  <c:v>125315</c:v>
                </c:pt>
                <c:pt idx="280">
                  <c:v>125320</c:v>
                </c:pt>
                <c:pt idx="281">
                  <c:v>125325</c:v>
                </c:pt>
                <c:pt idx="282">
                  <c:v>125330</c:v>
                </c:pt>
                <c:pt idx="283">
                  <c:v>125335</c:v>
                </c:pt>
                <c:pt idx="284">
                  <c:v>125340</c:v>
                </c:pt>
                <c:pt idx="285">
                  <c:v>125345</c:v>
                </c:pt>
                <c:pt idx="286">
                  <c:v>125350</c:v>
                </c:pt>
                <c:pt idx="287">
                  <c:v>125355</c:v>
                </c:pt>
                <c:pt idx="288">
                  <c:v>125400</c:v>
                </c:pt>
                <c:pt idx="289">
                  <c:v>125405</c:v>
                </c:pt>
                <c:pt idx="290">
                  <c:v>125410</c:v>
                </c:pt>
                <c:pt idx="291">
                  <c:v>125415</c:v>
                </c:pt>
                <c:pt idx="292">
                  <c:v>125420</c:v>
                </c:pt>
                <c:pt idx="293">
                  <c:v>125425</c:v>
                </c:pt>
                <c:pt idx="294">
                  <c:v>125430</c:v>
                </c:pt>
                <c:pt idx="295">
                  <c:v>125435</c:v>
                </c:pt>
                <c:pt idx="296">
                  <c:v>125440</c:v>
                </c:pt>
                <c:pt idx="297">
                  <c:v>125445</c:v>
                </c:pt>
                <c:pt idx="298">
                  <c:v>125450</c:v>
                </c:pt>
                <c:pt idx="299">
                  <c:v>125455</c:v>
                </c:pt>
                <c:pt idx="300">
                  <c:v>125500</c:v>
                </c:pt>
                <c:pt idx="301">
                  <c:v>125505</c:v>
                </c:pt>
                <c:pt idx="302">
                  <c:v>125510</c:v>
                </c:pt>
                <c:pt idx="303">
                  <c:v>125515</c:v>
                </c:pt>
                <c:pt idx="304">
                  <c:v>125520</c:v>
                </c:pt>
                <c:pt idx="305">
                  <c:v>125525</c:v>
                </c:pt>
                <c:pt idx="306">
                  <c:v>125530</c:v>
                </c:pt>
                <c:pt idx="307">
                  <c:v>125535</c:v>
                </c:pt>
                <c:pt idx="308">
                  <c:v>125540</c:v>
                </c:pt>
                <c:pt idx="309">
                  <c:v>125545</c:v>
                </c:pt>
                <c:pt idx="310">
                  <c:v>125550</c:v>
                </c:pt>
                <c:pt idx="311">
                  <c:v>125555</c:v>
                </c:pt>
                <c:pt idx="312">
                  <c:v>125600</c:v>
                </c:pt>
                <c:pt idx="313">
                  <c:v>125605</c:v>
                </c:pt>
                <c:pt idx="314">
                  <c:v>125610</c:v>
                </c:pt>
                <c:pt idx="315">
                  <c:v>125615</c:v>
                </c:pt>
                <c:pt idx="316">
                  <c:v>125620</c:v>
                </c:pt>
                <c:pt idx="317">
                  <c:v>125625</c:v>
                </c:pt>
                <c:pt idx="318">
                  <c:v>125630</c:v>
                </c:pt>
                <c:pt idx="319">
                  <c:v>125635</c:v>
                </c:pt>
                <c:pt idx="320">
                  <c:v>125640</c:v>
                </c:pt>
                <c:pt idx="321">
                  <c:v>125645</c:v>
                </c:pt>
                <c:pt idx="322">
                  <c:v>125650</c:v>
                </c:pt>
                <c:pt idx="323">
                  <c:v>125655</c:v>
                </c:pt>
                <c:pt idx="324">
                  <c:v>125700</c:v>
                </c:pt>
                <c:pt idx="325">
                  <c:v>125705</c:v>
                </c:pt>
                <c:pt idx="326">
                  <c:v>125710</c:v>
                </c:pt>
                <c:pt idx="327">
                  <c:v>125715</c:v>
                </c:pt>
                <c:pt idx="328">
                  <c:v>125720</c:v>
                </c:pt>
                <c:pt idx="329">
                  <c:v>125725</c:v>
                </c:pt>
                <c:pt idx="330">
                  <c:v>125730</c:v>
                </c:pt>
                <c:pt idx="331">
                  <c:v>125735</c:v>
                </c:pt>
                <c:pt idx="332">
                  <c:v>125740</c:v>
                </c:pt>
                <c:pt idx="333">
                  <c:v>125745</c:v>
                </c:pt>
                <c:pt idx="334">
                  <c:v>125750</c:v>
                </c:pt>
                <c:pt idx="335">
                  <c:v>125755</c:v>
                </c:pt>
                <c:pt idx="336">
                  <c:v>125800</c:v>
                </c:pt>
                <c:pt idx="337">
                  <c:v>125805</c:v>
                </c:pt>
                <c:pt idx="338">
                  <c:v>125810</c:v>
                </c:pt>
                <c:pt idx="339">
                  <c:v>125815</c:v>
                </c:pt>
                <c:pt idx="340">
                  <c:v>125820</c:v>
                </c:pt>
                <c:pt idx="341">
                  <c:v>125825</c:v>
                </c:pt>
                <c:pt idx="342">
                  <c:v>125830</c:v>
                </c:pt>
                <c:pt idx="343">
                  <c:v>125835</c:v>
                </c:pt>
                <c:pt idx="344">
                  <c:v>125840</c:v>
                </c:pt>
                <c:pt idx="345">
                  <c:v>125845</c:v>
                </c:pt>
                <c:pt idx="346">
                  <c:v>125850</c:v>
                </c:pt>
                <c:pt idx="347">
                  <c:v>125855</c:v>
                </c:pt>
                <c:pt idx="348">
                  <c:v>125900</c:v>
                </c:pt>
                <c:pt idx="349">
                  <c:v>125905</c:v>
                </c:pt>
                <c:pt idx="350">
                  <c:v>125910</c:v>
                </c:pt>
                <c:pt idx="351">
                  <c:v>125915</c:v>
                </c:pt>
                <c:pt idx="352">
                  <c:v>125920</c:v>
                </c:pt>
                <c:pt idx="353">
                  <c:v>125925</c:v>
                </c:pt>
                <c:pt idx="354">
                  <c:v>125930</c:v>
                </c:pt>
                <c:pt idx="355">
                  <c:v>125935</c:v>
                </c:pt>
                <c:pt idx="356">
                  <c:v>125940</c:v>
                </c:pt>
                <c:pt idx="357">
                  <c:v>125945</c:v>
                </c:pt>
                <c:pt idx="358">
                  <c:v>125950</c:v>
                </c:pt>
                <c:pt idx="359">
                  <c:v>125955</c:v>
                </c:pt>
                <c:pt idx="360">
                  <c:v>130000</c:v>
                </c:pt>
                <c:pt idx="361">
                  <c:v>130005</c:v>
                </c:pt>
                <c:pt idx="362">
                  <c:v>130010</c:v>
                </c:pt>
                <c:pt idx="363">
                  <c:v>130015</c:v>
                </c:pt>
                <c:pt idx="364">
                  <c:v>130020</c:v>
                </c:pt>
                <c:pt idx="365">
                  <c:v>130025</c:v>
                </c:pt>
                <c:pt idx="366">
                  <c:v>130030</c:v>
                </c:pt>
                <c:pt idx="367">
                  <c:v>130035</c:v>
                </c:pt>
                <c:pt idx="368">
                  <c:v>130040</c:v>
                </c:pt>
                <c:pt idx="369">
                  <c:v>130045</c:v>
                </c:pt>
                <c:pt idx="370">
                  <c:v>130050</c:v>
                </c:pt>
                <c:pt idx="371">
                  <c:v>130055</c:v>
                </c:pt>
                <c:pt idx="372">
                  <c:v>130100</c:v>
                </c:pt>
                <c:pt idx="373">
                  <c:v>130105</c:v>
                </c:pt>
                <c:pt idx="374">
                  <c:v>130110</c:v>
                </c:pt>
                <c:pt idx="375">
                  <c:v>130115</c:v>
                </c:pt>
                <c:pt idx="376">
                  <c:v>130120</c:v>
                </c:pt>
                <c:pt idx="377">
                  <c:v>130125</c:v>
                </c:pt>
                <c:pt idx="378">
                  <c:v>130130</c:v>
                </c:pt>
                <c:pt idx="379">
                  <c:v>130135</c:v>
                </c:pt>
                <c:pt idx="380">
                  <c:v>130140</c:v>
                </c:pt>
                <c:pt idx="381">
                  <c:v>130145</c:v>
                </c:pt>
                <c:pt idx="382">
                  <c:v>130150</c:v>
                </c:pt>
                <c:pt idx="383">
                  <c:v>130155</c:v>
                </c:pt>
                <c:pt idx="384">
                  <c:v>130200</c:v>
                </c:pt>
                <c:pt idx="385">
                  <c:v>130205</c:v>
                </c:pt>
                <c:pt idx="386">
                  <c:v>130210</c:v>
                </c:pt>
                <c:pt idx="387">
                  <c:v>130215</c:v>
                </c:pt>
                <c:pt idx="388">
                  <c:v>130220</c:v>
                </c:pt>
                <c:pt idx="389">
                  <c:v>130225</c:v>
                </c:pt>
                <c:pt idx="390">
                  <c:v>130230</c:v>
                </c:pt>
                <c:pt idx="391">
                  <c:v>130235</c:v>
                </c:pt>
                <c:pt idx="392">
                  <c:v>130240</c:v>
                </c:pt>
                <c:pt idx="393">
                  <c:v>130245</c:v>
                </c:pt>
                <c:pt idx="394">
                  <c:v>130250</c:v>
                </c:pt>
                <c:pt idx="395">
                  <c:v>130255</c:v>
                </c:pt>
                <c:pt idx="396">
                  <c:v>130300</c:v>
                </c:pt>
                <c:pt idx="397">
                  <c:v>130305</c:v>
                </c:pt>
                <c:pt idx="398">
                  <c:v>130310</c:v>
                </c:pt>
                <c:pt idx="399">
                  <c:v>130315</c:v>
                </c:pt>
                <c:pt idx="400">
                  <c:v>130320</c:v>
                </c:pt>
                <c:pt idx="401">
                  <c:v>130325</c:v>
                </c:pt>
                <c:pt idx="402">
                  <c:v>130330</c:v>
                </c:pt>
                <c:pt idx="403">
                  <c:v>130335</c:v>
                </c:pt>
                <c:pt idx="404">
                  <c:v>130340</c:v>
                </c:pt>
                <c:pt idx="405">
                  <c:v>130345</c:v>
                </c:pt>
                <c:pt idx="406">
                  <c:v>130350</c:v>
                </c:pt>
                <c:pt idx="407">
                  <c:v>130355</c:v>
                </c:pt>
                <c:pt idx="408">
                  <c:v>130400</c:v>
                </c:pt>
                <c:pt idx="409">
                  <c:v>130405</c:v>
                </c:pt>
                <c:pt idx="410">
                  <c:v>130410</c:v>
                </c:pt>
                <c:pt idx="411">
                  <c:v>130415</c:v>
                </c:pt>
                <c:pt idx="412">
                  <c:v>130420</c:v>
                </c:pt>
                <c:pt idx="413">
                  <c:v>130425</c:v>
                </c:pt>
                <c:pt idx="414">
                  <c:v>130430</c:v>
                </c:pt>
                <c:pt idx="415">
                  <c:v>130435</c:v>
                </c:pt>
                <c:pt idx="416">
                  <c:v>130440</c:v>
                </c:pt>
                <c:pt idx="417">
                  <c:v>130445</c:v>
                </c:pt>
                <c:pt idx="418">
                  <c:v>130450</c:v>
                </c:pt>
                <c:pt idx="419">
                  <c:v>130455</c:v>
                </c:pt>
                <c:pt idx="420">
                  <c:v>130500</c:v>
                </c:pt>
                <c:pt idx="421">
                  <c:v>130505</c:v>
                </c:pt>
                <c:pt idx="422">
                  <c:v>130510</c:v>
                </c:pt>
                <c:pt idx="423">
                  <c:v>130515</c:v>
                </c:pt>
                <c:pt idx="424">
                  <c:v>130520</c:v>
                </c:pt>
                <c:pt idx="425">
                  <c:v>130525</c:v>
                </c:pt>
                <c:pt idx="426">
                  <c:v>130530</c:v>
                </c:pt>
                <c:pt idx="427">
                  <c:v>130535</c:v>
                </c:pt>
                <c:pt idx="428">
                  <c:v>130540</c:v>
                </c:pt>
                <c:pt idx="429">
                  <c:v>130545</c:v>
                </c:pt>
                <c:pt idx="430">
                  <c:v>130550</c:v>
                </c:pt>
                <c:pt idx="431">
                  <c:v>130555</c:v>
                </c:pt>
                <c:pt idx="432">
                  <c:v>130600</c:v>
                </c:pt>
                <c:pt idx="433">
                  <c:v>130605</c:v>
                </c:pt>
                <c:pt idx="434">
                  <c:v>130610</c:v>
                </c:pt>
                <c:pt idx="435">
                  <c:v>130615</c:v>
                </c:pt>
                <c:pt idx="436">
                  <c:v>130620</c:v>
                </c:pt>
                <c:pt idx="437">
                  <c:v>130625</c:v>
                </c:pt>
                <c:pt idx="438">
                  <c:v>130630</c:v>
                </c:pt>
                <c:pt idx="439">
                  <c:v>130635</c:v>
                </c:pt>
                <c:pt idx="440">
                  <c:v>130640</c:v>
                </c:pt>
                <c:pt idx="441">
                  <c:v>130645</c:v>
                </c:pt>
                <c:pt idx="442">
                  <c:v>130650</c:v>
                </c:pt>
                <c:pt idx="443">
                  <c:v>130655</c:v>
                </c:pt>
                <c:pt idx="444">
                  <c:v>130700</c:v>
                </c:pt>
                <c:pt idx="445">
                  <c:v>130705</c:v>
                </c:pt>
                <c:pt idx="446">
                  <c:v>130710</c:v>
                </c:pt>
                <c:pt idx="447">
                  <c:v>130715</c:v>
                </c:pt>
                <c:pt idx="448">
                  <c:v>130720</c:v>
                </c:pt>
                <c:pt idx="449">
                  <c:v>130725</c:v>
                </c:pt>
                <c:pt idx="450">
                  <c:v>130730</c:v>
                </c:pt>
                <c:pt idx="451">
                  <c:v>130735</c:v>
                </c:pt>
                <c:pt idx="452">
                  <c:v>130740</c:v>
                </c:pt>
                <c:pt idx="453">
                  <c:v>130745</c:v>
                </c:pt>
                <c:pt idx="454">
                  <c:v>130750</c:v>
                </c:pt>
                <c:pt idx="455">
                  <c:v>130755</c:v>
                </c:pt>
                <c:pt idx="456">
                  <c:v>130800</c:v>
                </c:pt>
                <c:pt idx="457">
                  <c:v>130805</c:v>
                </c:pt>
                <c:pt idx="458">
                  <c:v>130810</c:v>
                </c:pt>
                <c:pt idx="459">
                  <c:v>130815</c:v>
                </c:pt>
                <c:pt idx="460">
                  <c:v>130820</c:v>
                </c:pt>
                <c:pt idx="461">
                  <c:v>130825</c:v>
                </c:pt>
                <c:pt idx="462">
                  <c:v>130830</c:v>
                </c:pt>
                <c:pt idx="463">
                  <c:v>130835</c:v>
                </c:pt>
                <c:pt idx="464">
                  <c:v>130840</c:v>
                </c:pt>
                <c:pt idx="465">
                  <c:v>130845</c:v>
                </c:pt>
                <c:pt idx="466">
                  <c:v>130850</c:v>
                </c:pt>
                <c:pt idx="467">
                  <c:v>130855</c:v>
                </c:pt>
                <c:pt idx="468">
                  <c:v>130900</c:v>
                </c:pt>
                <c:pt idx="469">
                  <c:v>130905</c:v>
                </c:pt>
                <c:pt idx="470">
                  <c:v>130910</c:v>
                </c:pt>
                <c:pt idx="471">
                  <c:v>130915</c:v>
                </c:pt>
                <c:pt idx="472">
                  <c:v>130920</c:v>
                </c:pt>
                <c:pt idx="473">
                  <c:v>130925</c:v>
                </c:pt>
                <c:pt idx="474">
                  <c:v>130930</c:v>
                </c:pt>
                <c:pt idx="475">
                  <c:v>130935</c:v>
                </c:pt>
                <c:pt idx="476">
                  <c:v>130940</c:v>
                </c:pt>
                <c:pt idx="477">
                  <c:v>130945</c:v>
                </c:pt>
                <c:pt idx="478">
                  <c:v>130950</c:v>
                </c:pt>
                <c:pt idx="479">
                  <c:v>130955</c:v>
                </c:pt>
                <c:pt idx="480">
                  <c:v>131000</c:v>
                </c:pt>
                <c:pt idx="481">
                  <c:v>131005</c:v>
                </c:pt>
                <c:pt idx="482">
                  <c:v>131010</c:v>
                </c:pt>
                <c:pt idx="483">
                  <c:v>131015</c:v>
                </c:pt>
                <c:pt idx="484">
                  <c:v>131020</c:v>
                </c:pt>
                <c:pt idx="485">
                  <c:v>131025</c:v>
                </c:pt>
                <c:pt idx="486">
                  <c:v>131030</c:v>
                </c:pt>
                <c:pt idx="487">
                  <c:v>131035</c:v>
                </c:pt>
                <c:pt idx="488">
                  <c:v>131040</c:v>
                </c:pt>
                <c:pt idx="489">
                  <c:v>131045</c:v>
                </c:pt>
                <c:pt idx="490">
                  <c:v>131050</c:v>
                </c:pt>
                <c:pt idx="491">
                  <c:v>131055</c:v>
                </c:pt>
                <c:pt idx="492">
                  <c:v>131100</c:v>
                </c:pt>
                <c:pt idx="493">
                  <c:v>131105</c:v>
                </c:pt>
                <c:pt idx="494">
                  <c:v>131110</c:v>
                </c:pt>
                <c:pt idx="495">
                  <c:v>131115</c:v>
                </c:pt>
                <c:pt idx="496">
                  <c:v>131120</c:v>
                </c:pt>
                <c:pt idx="497">
                  <c:v>131125</c:v>
                </c:pt>
                <c:pt idx="498">
                  <c:v>131130</c:v>
                </c:pt>
                <c:pt idx="499">
                  <c:v>131135</c:v>
                </c:pt>
                <c:pt idx="500">
                  <c:v>131140</c:v>
                </c:pt>
                <c:pt idx="501">
                  <c:v>131145</c:v>
                </c:pt>
                <c:pt idx="502">
                  <c:v>131150</c:v>
                </c:pt>
                <c:pt idx="503">
                  <c:v>131155</c:v>
                </c:pt>
                <c:pt idx="504">
                  <c:v>131200</c:v>
                </c:pt>
                <c:pt idx="505">
                  <c:v>131205</c:v>
                </c:pt>
                <c:pt idx="506">
                  <c:v>131210</c:v>
                </c:pt>
                <c:pt idx="507">
                  <c:v>131215</c:v>
                </c:pt>
                <c:pt idx="508">
                  <c:v>131220</c:v>
                </c:pt>
                <c:pt idx="509">
                  <c:v>131225</c:v>
                </c:pt>
                <c:pt idx="510">
                  <c:v>131230</c:v>
                </c:pt>
                <c:pt idx="511">
                  <c:v>131235</c:v>
                </c:pt>
                <c:pt idx="512">
                  <c:v>131240</c:v>
                </c:pt>
                <c:pt idx="513">
                  <c:v>131245</c:v>
                </c:pt>
                <c:pt idx="514">
                  <c:v>131250</c:v>
                </c:pt>
                <c:pt idx="515">
                  <c:v>131255</c:v>
                </c:pt>
                <c:pt idx="516">
                  <c:v>131300</c:v>
                </c:pt>
                <c:pt idx="517">
                  <c:v>131305</c:v>
                </c:pt>
                <c:pt idx="518">
                  <c:v>131310</c:v>
                </c:pt>
                <c:pt idx="519">
                  <c:v>131315</c:v>
                </c:pt>
                <c:pt idx="520">
                  <c:v>131320</c:v>
                </c:pt>
                <c:pt idx="521">
                  <c:v>131325</c:v>
                </c:pt>
                <c:pt idx="522">
                  <c:v>131330</c:v>
                </c:pt>
                <c:pt idx="523">
                  <c:v>131335</c:v>
                </c:pt>
                <c:pt idx="524">
                  <c:v>131340</c:v>
                </c:pt>
                <c:pt idx="525">
                  <c:v>131345</c:v>
                </c:pt>
                <c:pt idx="526">
                  <c:v>131350</c:v>
                </c:pt>
                <c:pt idx="527">
                  <c:v>131355</c:v>
                </c:pt>
                <c:pt idx="528">
                  <c:v>131400</c:v>
                </c:pt>
                <c:pt idx="529">
                  <c:v>131405</c:v>
                </c:pt>
                <c:pt idx="530">
                  <c:v>131410</c:v>
                </c:pt>
                <c:pt idx="531">
                  <c:v>131415</c:v>
                </c:pt>
                <c:pt idx="532">
                  <c:v>131420</c:v>
                </c:pt>
                <c:pt idx="533">
                  <c:v>131425</c:v>
                </c:pt>
                <c:pt idx="534">
                  <c:v>131430</c:v>
                </c:pt>
                <c:pt idx="535">
                  <c:v>131435</c:v>
                </c:pt>
                <c:pt idx="536">
                  <c:v>131440</c:v>
                </c:pt>
                <c:pt idx="537">
                  <c:v>131445</c:v>
                </c:pt>
                <c:pt idx="538">
                  <c:v>131450</c:v>
                </c:pt>
                <c:pt idx="539">
                  <c:v>131455</c:v>
                </c:pt>
                <c:pt idx="540">
                  <c:v>131500</c:v>
                </c:pt>
                <c:pt idx="541">
                  <c:v>131505</c:v>
                </c:pt>
                <c:pt idx="542">
                  <c:v>131510</c:v>
                </c:pt>
                <c:pt idx="543">
                  <c:v>131515</c:v>
                </c:pt>
                <c:pt idx="544">
                  <c:v>131520</c:v>
                </c:pt>
                <c:pt idx="545">
                  <c:v>131525</c:v>
                </c:pt>
                <c:pt idx="546">
                  <c:v>131530</c:v>
                </c:pt>
                <c:pt idx="547">
                  <c:v>131535</c:v>
                </c:pt>
                <c:pt idx="548">
                  <c:v>131540</c:v>
                </c:pt>
                <c:pt idx="549">
                  <c:v>131545</c:v>
                </c:pt>
                <c:pt idx="550">
                  <c:v>131550</c:v>
                </c:pt>
                <c:pt idx="551">
                  <c:v>131555</c:v>
                </c:pt>
                <c:pt idx="552">
                  <c:v>131600</c:v>
                </c:pt>
                <c:pt idx="553">
                  <c:v>131605</c:v>
                </c:pt>
                <c:pt idx="554">
                  <c:v>131610</c:v>
                </c:pt>
                <c:pt idx="555">
                  <c:v>131615</c:v>
                </c:pt>
                <c:pt idx="556">
                  <c:v>131620</c:v>
                </c:pt>
                <c:pt idx="557">
                  <c:v>131625</c:v>
                </c:pt>
                <c:pt idx="558">
                  <c:v>131630</c:v>
                </c:pt>
                <c:pt idx="559">
                  <c:v>131635</c:v>
                </c:pt>
                <c:pt idx="560">
                  <c:v>131640</c:v>
                </c:pt>
                <c:pt idx="561">
                  <c:v>131645</c:v>
                </c:pt>
                <c:pt idx="562">
                  <c:v>131650</c:v>
                </c:pt>
                <c:pt idx="563">
                  <c:v>131655</c:v>
                </c:pt>
                <c:pt idx="564">
                  <c:v>131700</c:v>
                </c:pt>
                <c:pt idx="565">
                  <c:v>131705</c:v>
                </c:pt>
                <c:pt idx="566">
                  <c:v>131710</c:v>
                </c:pt>
                <c:pt idx="567">
                  <c:v>131715</c:v>
                </c:pt>
                <c:pt idx="568">
                  <c:v>131720</c:v>
                </c:pt>
                <c:pt idx="569">
                  <c:v>131725</c:v>
                </c:pt>
                <c:pt idx="570">
                  <c:v>131730</c:v>
                </c:pt>
                <c:pt idx="571">
                  <c:v>131735</c:v>
                </c:pt>
                <c:pt idx="572">
                  <c:v>131740</c:v>
                </c:pt>
                <c:pt idx="573">
                  <c:v>131745</c:v>
                </c:pt>
                <c:pt idx="574">
                  <c:v>131750</c:v>
                </c:pt>
                <c:pt idx="575">
                  <c:v>131755</c:v>
                </c:pt>
                <c:pt idx="576">
                  <c:v>131800</c:v>
                </c:pt>
                <c:pt idx="577">
                  <c:v>131805</c:v>
                </c:pt>
                <c:pt idx="578">
                  <c:v>131810</c:v>
                </c:pt>
                <c:pt idx="579">
                  <c:v>131815</c:v>
                </c:pt>
                <c:pt idx="580">
                  <c:v>131820</c:v>
                </c:pt>
                <c:pt idx="581">
                  <c:v>131825</c:v>
                </c:pt>
                <c:pt idx="582">
                  <c:v>131830</c:v>
                </c:pt>
                <c:pt idx="583">
                  <c:v>131835</c:v>
                </c:pt>
                <c:pt idx="584">
                  <c:v>131840</c:v>
                </c:pt>
                <c:pt idx="585">
                  <c:v>131845</c:v>
                </c:pt>
                <c:pt idx="586">
                  <c:v>131850</c:v>
                </c:pt>
                <c:pt idx="587">
                  <c:v>131855</c:v>
                </c:pt>
                <c:pt idx="588">
                  <c:v>131900</c:v>
                </c:pt>
                <c:pt idx="589">
                  <c:v>131905</c:v>
                </c:pt>
                <c:pt idx="590">
                  <c:v>131910</c:v>
                </c:pt>
                <c:pt idx="591">
                  <c:v>131915</c:v>
                </c:pt>
                <c:pt idx="592">
                  <c:v>131920</c:v>
                </c:pt>
                <c:pt idx="593">
                  <c:v>131925</c:v>
                </c:pt>
                <c:pt idx="594">
                  <c:v>131930</c:v>
                </c:pt>
                <c:pt idx="595">
                  <c:v>131935</c:v>
                </c:pt>
                <c:pt idx="596">
                  <c:v>131940</c:v>
                </c:pt>
                <c:pt idx="597">
                  <c:v>131945</c:v>
                </c:pt>
                <c:pt idx="598">
                  <c:v>131950</c:v>
                </c:pt>
                <c:pt idx="599">
                  <c:v>131955</c:v>
                </c:pt>
                <c:pt idx="600">
                  <c:v>132000</c:v>
                </c:pt>
                <c:pt idx="601">
                  <c:v>132005</c:v>
                </c:pt>
                <c:pt idx="602">
                  <c:v>132010</c:v>
                </c:pt>
                <c:pt idx="603">
                  <c:v>132015</c:v>
                </c:pt>
                <c:pt idx="604">
                  <c:v>132020</c:v>
                </c:pt>
                <c:pt idx="605">
                  <c:v>132025</c:v>
                </c:pt>
                <c:pt idx="606">
                  <c:v>132030</c:v>
                </c:pt>
                <c:pt idx="607">
                  <c:v>132035</c:v>
                </c:pt>
                <c:pt idx="608">
                  <c:v>132040</c:v>
                </c:pt>
                <c:pt idx="609">
                  <c:v>132045</c:v>
                </c:pt>
                <c:pt idx="610">
                  <c:v>132050</c:v>
                </c:pt>
                <c:pt idx="611">
                  <c:v>132055</c:v>
                </c:pt>
                <c:pt idx="612">
                  <c:v>132100</c:v>
                </c:pt>
                <c:pt idx="613">
                  <c:v>132105</c:v>
                </c:pt>
                <c:pt idx="614">
                  <c:v>132110</c:v>
                </c:pt>
                <c:pt idx="615">
                  <c:v>132115</c:v>
                </c:pt>
                <c:pt idx="616">
                  <c:v>132120</c:v>
                </c:pt>
                <c:pt idx="617">
                  <c:v>132125</c:v>
                </c:pt>
                <c:pt idx="618">
                  <c:v>132130</c:v>
                </c:pt>
                <c:pt idx="619">
                  <c:v>132135</c:v>
                </c:pt>
                <c:pt idx="620">
                  <c:v>132140</c:v>
                </c:pt>
                <c:pt idx="621">
                  <c:v>132145</c:v>
                </c:pt>
                <c:pt idx="622">
                  <c:v>132150</c:v>
                </c:pt>
                <c:pt idx="623">
                  <c:v>132155</c:v>
                </c:pt>
                <c:pt idx="624">
                  <c:v>132200</c:v>
                </c:pt>
                <c:pt idx="625">
                  <c:v>132205</c:v>
                </c:pt>
                <c:pt idx="626">
                  <c:v>132210</c:v>
                </c:pt>
                <c:pt idx="627">
                  <c:v>132215</c:v>
                </c:pt>
                <c:pt idx="628">
                  <c:v>132220</c:v>
                </c:pt>
                <c:pt idx="629">
                  <c:v>132225</c:v>
                </c:pt>
                <c:pt idx="630">
                  <c:v>132230</c:v>
                </c:pt>
                <c:pt idx="631">
                  <c:v>132235</c:v>
                </c:pt>
                <c:pt idx="632">
                  <c:v>132240</c:v>
                </c:pt>
                <c:pt idx="633">
                  <c:v>132245</c:v>
                </c:pt>
                <c:pt idx="634">
                  <c:v>132250</c:v>
                </c:pt>
                <c:pt idx="635">
                  <c:v>132255</c:v>
                </c:pt>
                <c:pt idx="636">
                  <c:v>132300</c:v>
                </c:pt>
                <c:pt idx="637">
                  <c:v>132305</c:v>
                </c:pt>
                <c:pt idx="638">
                  <c:v>132310</c:v>
                </c:pt>
                <c:pt idx="639">
                  <c:v>132315</c:v>
                </c:pt>
                <c:pt idx="640">
                  <c:v>132320</c:v>
                </c:pt>
                <c:pt idx="641">
                  <c:v>132325</c:v>
                </c:pt>
                <c:pt idx="642">
                  <c:v>132330</c:v>
                </c:pt>
                <c:pt idx="643">
                  <c:v>132335</c:v>
                </c:pt>
                <c:pt idx="644">
                  <c:v>132340</c:v>
                </c:pt>
                <c:pt idx="645">
                  <c:v>132345</c:v>
                </c:pt>
                <c:pt idx="646">
                  <c:v>132350</c:v>
                </c:pt>
                <c:pt idx="647">
                  <c:v>132355</c:v>
                </c:pt>
                <c:pt idx="648">
                  <c:v>132400</c:v>
                </c:pt>
                <c:pt idx="649">
                  <c:v>132405</c:v>
                </c:pt>
                <c:pt idx="650">
                  <c:v>132410</c:v>
                </c:pt>
                <c:pt idx="651">
                  <c:v>132415</c:v>
                </c:pt>
                <c:pt idx="652">
                  <c:v>132420</c:v>
                </c:pt>
                <c:pt idx="653">
                  <c:v>132425</c:v>
                </c:pt>
                <c:pt idx="654">
                  <c:v>132430</c:v>
                </c:pt>
                <c:pt idx="655">
                  <c:v>132435</c:v>
                </c:pt>
                <c:pt idx="656">
                  <c:v>132440</c:v>
                </c:pt>
                <c:pt idx="657">
                  <c:v>132445</c:v>
                </c:pt>
                <c:pt idx="658">
                  <c:v>132450</c:v>
                </c:pt>
                <c:pt idx="659">
                  <c:v>132455</c:v>
                </c:pt>
                <c:pt idx="660">
                  <c:v>133100</c:v>
                </c:pt>
              </c:numCache>
            </c:numRef>
          </c:cat>
          <c:val>
            <c:numRef>
              <c:f>結算估價!$G$6:$G$666</c:f>
              <c:numCache>
                <c:formatCode>General</c:formatCode>
                <c:ptCount val="661"/>
                <c:pt idx="0">
                  <c:v>2370</c:v>
                </c:pt>
                <c:pt idx="1">
                  <c:v>2370</c:v>
                </c:pt>
                <c:pt idx="2">
                  <c:v>2370</c:v>
                </c:pt>
                <c:pt idx="3">
                  <c:v>2370</c:v>
                </c:pt>
                <c:pt idx="4">
                  <c:v>2370</c:v>
                </c:pt>
                <c:pt idx="5">
                  <c:v>2370</c:v>
                </c:pt>
                <c:pt idx="6">
                  <c:v>2370</c:v>
                </c:pt>
                <c:pt idx="7">
                  <c:v>2370</c:v>
                </c:pt>
                <c:pt idx="8">
                  <c:v>2370</c:v>
                </c:pt>
                <c:pt idx="9">
                  <c:v>2370</c:v>
                </c:pt>
                <c:pt idx="10">
                  <c:v>2370</c:v>
                </c:pt>
                <c:pt idx="11">
                  <c:v>2370</c:v>
                </c:pt>
                <c:pt idx="12">
                  <c:v>2370</c:v>
                </c:pt>
                <c:pt idx="13">
                  <c:v>2370</c:v>
                </c:pt>
                <c:pt idx="14">
                  <c:v>2370</c:v>
                </c:pt>
                <c:pt idx="15">
                  <c:v>2370</c:v>
                </c:pt>
                <c:pt idx="16">
                  <c:v>2370</c:v>
                </c:pt>
                <c:pt idx="17">
                  <c:v>2370</c:v>
                </c:pt>
                <c:pt idx="18">
                  <c:v>2370</c:v>
                </c:pt>
                <c:pt idx="19">
                  <c:v>2370</c:v>
                </c:pt>
                <c:pt idx="20">
                  <c:v>2370</c:v>
                </c:pt>
                <c:pt idx="21">
                  <c:v>2370</c:v>
                </c:pt>
                <c:pt idx="22">
                  <c:v>2370</c:v>
                </c:pt>
                <c:pt idx="23">
                  <c:v>2370</c:v>
                </c:pt>
                <c:pt idx="24">
                  <c:v>2370</c:v>
                </c:pt>
                <c:pt idx="25">
                  <c:v>2365</c:v>
                </c:pt>
                <c:pt idx="26">
                  <c:v>2365</c:v>
                </c:pt>
                <c:pt idx="27">
                  <c:v>2365</c:v>
                </c:pt>
                <c:pt idx="28">
                  <c:v>2365</c:v>
                </c:pt>
                <c:pt idx="29">
                  <c:v>2365</c:v>
                </c:pt>
                <c:pt idx="30">
                  <c:v>2365</c:v>
                </c:pt>
                <c:pt idx="31">
                  <c:v>2365</c:v>
                </c:pt>
                <c:pt idx="32">
                  <c:v>2365</c:v>
                </c:pt>
                <c:pt idx="33">
                  <c:v>2365</c:v>
                </c:pt>
                <c:pt idx="34">
                  <c:v>2365</c:v>
                </c:pt>
                <c:pt idx="35">
                  <c:v>2365</c:v>
                </c:pt>
                <c:pt idx="36">
                  <c:v>2365</c:v>
                </c:pt>
                <c:pt idx="37">
                  <c:v>2365</c:v>
                </c:pt>
                <c:pt idx="38">
                  <c:v>2365</c:v>
                </c:pt>
                <c:pt idx="39">
                  <c:v>2365</c:v>
                </c:pt>
                <c:pt idx="40">
                  <c:v>2365</c:v>
                </c:pt>
                <c:pt idx="41">
                  <c:v>2365</c:v>
                </c:pt>
                <c:pt idx="42">
                  <c:v>2365</c:v>
                </c:pt>
                <c:pt idx="43">
                  <c:v>2365</c:v>
                </c:pt>
                <c:pt idx="44">
                  <c:v>2365</c:v>
                </c:pt>
                <c:pt idx="45">
                  <c:v>2365</c:v>
                </c:pt>
                <c:pt idx="46">
                  <c:v>2365</c:v>
                </c:pt>
                <c:pt idx="47">
                  <c:v>2365</c:v>
                </c:pt>
                <c:pt idx="48">
                  <c:v>2365</c:v>
                </c:pt>
                <c:pt idx="49">
                  <c:v>2365</c:v>
                </c:pt>
                <c:pt idx="50">
                  <c:v>2365</c:v>
                </c:pt>
                <c:pt idx="51">
                  <c:v>2365</c:v>
                </c:pt>
                <c:pt idx="52">
                  <c:v>2370</c:v>
                </c:pt>
                <c:pt idx="53">
                  <c:v>2370</c:v>
                </c:pt>
                <c:pt idx="54">
                  <c:v>2370</c:v>
                </c:pt>
                <c:pt idx="55">
                  <c:v>2370</c:v>
                </c:pt>
                <c:pt idx="56">
                  <c:v>2370</c:v>
                </c:pt>
                <c:pt idx="57">
                  <c:v>2370</c:v>
                </c:pt>
                <c:pt idx="58">
                  <c:v>2370</c:v>
                </c:pt>
                <c:pt idx="59">
                  <c:v>2370</c:v>
                </c:pt>
                <c:pt idx="60">
                  <c:v>2370</c:v>
                </c:pt>
                <c:pt idx="61">
                  <c:v>2370</c:v>
                </c:pt>
                <c:pt idx="62">
                  <c:v>2370</c:v>
                </c:pt>
                <c:pt idx="63">
                  <c:v>2370</c:v>
                </c:pt>
                <c:pt idx="64">
                  <c:v>2370</c:v>
                </c:pt>
                <c:pt idx="65">
                  <c:v>2370</c:v>
                </c:pt>
                <c:pt idx="66">
                  <c:v>2370</c:v>
                </c:pt>
                <c:pt idx="67">
                  <c:v>2370</c:v>
                </c:pt>
                <c:pt idx="68">
                  <c:v>2370</c:v>
                </c:pt>
                <c:pt idx="69">
                  <c:v>2370</c:v>
                </c:pt>
                <c:pt idx="70">
                  <c:v>2370</c:v>
                </c:pt>
                <c:pt idx="71">
                  <c:v>2370</c:v>
                </c:pt>
                <c:pt idx="72">
                  <c:v>2370</c:v>
                </c:pt>
                <c:pt idx="73">
                  <c:v>2370</c:v>
                </c:pt>
                <c:pt idx="74">
                  <c:v>2370</c:v>
                </c:pt>
                <c:pt idx="75">
                  <c:v>2370</c:v>
                </c:pt>
                <c:pt idx="76">
                  <c:v>2370</c:v>
                </c:pt>
                <c:pt idx="77">
                  <c:v>2370</c:v>
                </c:pt>
                <c:pt idx="78">
                  <c:v>2370</c:v>
                </c:pt>
                <c:pt idx="79">
                  <c:v>2370</c:v>
                </c:pt>
                <c:pt idx="80">
                  <c:v>2370</c:v>
                </c:pt>
                <c:pt idx="81">
                  <c:v>2370</c:v>
                </c:pt>
                <c:pt idx="82">
                  <c:v>2370</c:v>
                </c:pt>
                <c:pt idx="83">
                  <c:v>2370</c:v>
                </c:pt>
                <c:pt idx="84">
                  <c:v>2370</c:v>
                </c:pt>
                <c:pt idx="85">
                  <c:v>2370</c:v>
                </c:pt>
                <c:pt idx="86">
                  <c:v>2370</c:v>
                </c:pt>
                <c:pt idx="87">
                  <c:v>2370</c:v>
                </c:pt>
                <c:pt idx="88">
                  <c:v>2370</c:v>
                </c:pt>
                <c:pt idx="89">
                  <c:v>2370</c:v>
                </c:pt>
                <c:pt idx="90">
                  <c:v>2370</c:v>
                </c:pt>
                <c:pt idx="91">
                  <c:v>2370</c:v>
                </c:pt>
                <c:pt idx="92">
                  <c:v>2370</c:v>
                </c:pt>
                <c:pt idx="93">
                  <c:v>2370</c:v>
                </c:pt>
                <c:pt idx="94">
                  <c:v>2370</c:v>
                </c:pt>
                <c:pt idx="95">
                  <c:v>2370</c:v>
                </c:pt>
                <c:pt idx="96">
                  <c:v>2370</c:v>
                </c:pt>
                <c:pt idx="97">
                  <c:v>2370</c:v>
                </c:pt>
                <c:pt idx="98">
                  <c:v>2370</c:v>
                </c:pt>
                <c:pt idx="99">
                  <c:v>2370</c:v>
                </c:pt>
                <c:pt idx="100">
                  <c:v>2370</c:v>
                </c:pt>
                <c:pt idx="101">
                  <c:v>2370</c:v>
                </c:pt>
                <c:pt idx="102">
                  <c:v>2370</c:v>
                </c:pt>
                <c:pt idx="103">
                  <c:v>2370</c:v>
                </c:pt>
                <c:pt idx="104">
                  <c:v>2370</c:v>
                </c:pt>
                <c:pt idx="105">
                  <c:v>2370</c:v>
                </c:pt>
                <c:pt idx="106">
                  <c:v>2370</c:v>
                </c:pt>
                <c:pt idx="107">
                  <c:v>2370</c:v>
                </c:pt>
                <c:pt idx="108">
                  <c:v>2370</c:v>
                </c:pt>
                <c:pt idx="109">
                  <c:v>2370</c:v>
                </c:pt>
                <c:pt idx="110">
                  <c:v>2370</c:v>
                </c:pt>
                <c:pt idx="111">
                  <c:v>2370</c:v>
                </c:pt>
                <c:pt idx="112">
                  <c:v>2370</c:v>
                </c:pt>
                <c:pt idx="113">
                  <c:v>2370</c:v>
                </c:pt>
                <c:pt idx="114">
                  <c:v>2365</c:v>
                </c:pt>
                <c:pt idx="115">
                  <c:v>2365</c:v>
                </c:pt>
                <c:pt idx="116">
                  <c:v>2365</c:v>
                </c:pt>
                <c:pt idx="117">
                  <c:v>2365</c:v>
                </c:pt>
                <c:pt idx="118">
                  <c:v>2365</c:v>
                </c:pt>
                <c:pt idx="119">
                  <c:v>2365</c:v>
                </c:pt>
                <c:pt idx="120">
                  <c:v>2365</c:v>
                </c:pt>
                <c:pt idx="121">
                  <c:v>2365</c:v>
                </c:pt>
                <c:pt idx="122">
                  <c:v>2365</c:v>
                </c:pt>
                <c:pt idx="123">
                  <c:v>2365</c:v>
                </c:pt>
                <c:pt idx="124">
                  <c:v>2365</c:v>
                </c:pt>
                <c:pt idx="125">
                  <c:v>2365</c:v>
                </c:pt>
                <c:pt idx="126">
                  <c:v>2365</c:v>
                </c:pt>
                <c:pt idx="127">
                  <c:v>2365</c:v>
                </c:pt>
                <c:pt idx="128">
                  <c:v>2365</c:v>
                </c:pt>
                <c:pt idx="129">
                  <c:v>2365</c:v>
                </c:pt>
                <c:pt idx="130">
                  <c:v>2365</c:v>
                </c:pt>
                <c:pt idx="131">
                  <c:v>2365</c:v>
                </c:pt>
                <c:pt idx="132">
                  <c:v>2365</c:v>
                </c:pt>
                <c:pt idx="133">
                  <c:v>2365</c:v>
                </c:pt>
                <c:pt idx="134">
                  <c:v>2365</c:v>
                </c:pt>
                <c:pt idx="135">
                  <c:v>2365</c:v>
                </c:pt>
                <c:pt idx="136">
                  <c:v>2365</c:v>
                </c:pt>
                <c:pt idx="137">
                  <c:v>2365</c:v>
                </c:pt>
                <c:pt idx="138">
                  <c:v>2365</c:v>
                </c:pt>
                <c:pt idx="139">
                  <c:v>2365</c:v>
                </c:pt>
                <c:pt idx="140">
                  <c:v>2365</c:v>
                </c:pt>
                <c:pt idx="141">
                  <c:v>2365</c:v>
                </c:pt>
                <c:pt idx="142">
                  <c:v>2365</c:v>
                </c:pt>
                <c:pt idx="143">
                  <c:v>2365</c:v>
                </c:pt>
                <c:pt idx="144">
                  <c:v>2365</c:v>
                </c:pt>
                <c:pt idx="145">
                  <c:v>2365</c:v>
                </c:pt>
                <c:pt idx="146">
                  <c:v>2365</c:v>
                </c:pt>
                <c:pt idx="147">
                  <c:v>2365</c:v>
                </c:pt>
                <c:pt idx="148">
                  <c:v>2365</c:v>
                </c:pt>
                <c:pt idx="149">
                  <c:v>2365</c:v>
                </c:pt>
                <c:pt idx="150">
                  <c:v>2365</c:v>
                </c:pt>
                <c:pt idx="151">
                  <c:v>2365</c:v>
                </c:pt>
                <c:pt idx="152">
                  <c:v>2365</c:v>
                </c:pt>
                <c:pt idx="153">
                  <c:v>2365</c:v>
                </c:pt>
                <c:pt idx="154">
                  <c:v>2365</c:v>
                </c:pt>
                <c:pt idx="155">
                  <c:v>2365</c:v>
                </c:pt>
                <c:pt idx="156">
                  <c:v>2365</c:v>
                </c:pt>
                <c:pt idx="157">
                  <c:v>2365</c:v>
                </c:pt>
                <c:pt idx="158">
                  <c:v>2365</c:v>
                </c:pt>
                <c:pt idx="159">
                  <c:v>2365</c:v>
                </c:pt>
                <c:pt idx="160">
                  <c:v>2365</c:v>
                </c:pt>
                <c:pt idx="161">
                  <c:v>2365</c:v>
                </c:pt>
                <c:pt idx="162">
                  <c:v>2365</c:v>
                </c:pt>
                <c:pt idx="163">
                  <c:v>2365</c:v>
                </c:pt>
                <c:pt idx="164">
                  <c:v>2365</c:v>
                </c:pt>
                <c:pt idx="165">
                  <c:v>2365</c:v>
                </c:pt>
                <c:pt idx="166">
                  <c:v>2365</c:v>
                </c:pt>
                <c:pt idx="167">
                  <c:v>2365</c:v>
                </c:pt>
                <c:pt idx="168">
                  <c:v>2365</c:v>
                </c:pt>
                <c:pt idx="169">
                  <c:v>2365</c:v>
                </c:pt>
                <c:pt idx="170">
                  <c:v>2365</c:v>
                </c:pt>
                <c:pt idx="171">
                  <c:v>2365</c:v>
                </c:pt>
                <c:pt idx="172">
                  <c:v>2370</c:v>
                </c:pt>
                <c:pt idx="173">
                  <c:v>2370</c:v>
                </c:pt>
                <c:pt idx="174">
                  <c:v>2370</c:v>
                </c:pt>
                <c:pt idx="175">
                  <c:v>2370</c:v>
                </c:pt>
                <c:pt idx="176">
                  <c:v>2375</c:v>
                </c:pt>
                <c:pt idx="177">
                  <c:v>2375</c:v>
                </c:pt>
                <c:pt idx="178">
                  <c:v>2375</c:v>
                </c:pt>
                <c:pt idx="179">
                  <c:v>2375</c:v>
                </c:pt>
                <c:pt idx="180">
                  <c:v>2375</c:v>
                </c:pt>
                <c:pt idx="181">
                  <c:v>2375</c:v>
                </c:pt>
                <c:pt idx="182">
                  <c:v>2375</c:v>
                </c:pt>
                <c:pt idx="183">
                  <c:v>2375</c:v>
                </c:pt>
                <c:pt idx="184">
                  <c:v>2375</c:v>
                </c:pt>
                <c:pt idx="185">
                  <c:v>2375</c:v>
                </c:pt>
                <c:pt idx="186">
                  <c:v>2375</c:v>
                </c:pt>
                <c:pt idx="187">
                  <c:v>2375</c:v>
                </c:pt>
                <c:pt idx="188">
                  <c:v>2375</c:v>
                </c:pt>
                <c:pt idx="189">
                  <c:v>2375</c:v>
                </c:pt>
                <c:pt idx="190">
                  <c:v>2375</c:v>
                </c:pt>
                <c:pt idx="191">
                  <c:v>2375</c:v>
                </c:pt>
                <c:pt idx="192">
                  <c:v>2375</c:v>
                </c:pt>
                <c:pt idx="193">
                  <c:v>2375</c:v>
                </c:pt>
                <c:pt idx="194">
                  <c:v>2375</c:v>
                </c:pt>
                <c:pt idx="195">
                  <c:v>2375</c:v>
                </c:pt>
                <c:pt idx="196">
                  <c:v>2375</c:v>
                </c:pt>
                <c:pt idx="197">
                  <c:v>2375</c:v>
                </c:pt>
                <c:pt idx="198">
                  <c:v>2375</c:v>
                </c:pt>
                <c:pt idx="199">
                  <c:v>2375</c:v>
                </c:pt>
                <c:pt idx="200">
                  <c:v>2375</c:v>
                </c:pt>
                <c:pt idx="201">
                  <c:v>2375</c:v>
                </c:pt>
                <c:pt idx="202">
                  <c:v>2375</c:v>
                </c:pt>
                <c:pt idx="203">
                  <c:v>2375</c:v>
                </c:pt>
                <c:pt idx="204">
                  <c:v>2375</c:v>
                </c:pt>
                <c:pt idx="205">
                  <c:v>2375</c:v>
                </c:pt>
                <c:pt idx="206">
                  <c:v>2375</c:v>
                </c:pt>
                <c:pt idx="207">
                  <c:v>2370</c:v>
                </c:pt>
                <c:pt idx="208">
                  <c:v>2370</c:v>
                </c:pt>
                <c:pt idx="209">
                  <c:v>2370</c:v>
                </c:pt>
                <c:pt idx="210">
                  <c:v>2370</c:v>
                </c:pt>
                <c:pt idx="211">
                  <c:v>2370</c:v>
                </c:pt>
                <c:pt idx="212">
                  <c:v>2370</c:v>
                </c:pt>
                <c:pt idx="213">
                  <c:v>2370</c:v>
                </c:pt>
                <c:pt idx="214">
                  <c:v>2375</c:v>
                </c:pt>
                <c:pt idx="215">
                  <c:v>2375</c:v>
                </c:pt>
                <c:pt idx="216">
                  <c:v>2375</c:v>
                </c:pt>
                <c:pt idx="217">
                  <c:v>2375</c:v>
                </c:pt>
                <c:pt idx="218">
                  <c:v>2375</c:v>
                </c:pt>
                <c:pt idx="219">
                  <c:v>2375</c:v>
                </c:pt>
                <c:pt idx="220">
                  <c:v>2375</c:v>
                </c:pt>
                <c:pt idx="221">
                  <c:v>2375</c:v>
                </c:pt>
                <c:pt idx="222">
                  <c:v>2375</c:v>
                </c:pt>
                <c:pt idx="223">
                  <c:v>2375</c:v>
                </c:pt>
                <c:pt idx="224">
                  <c:v>2375</c:v>
                </c:pt>
                <c:pt idx="225">
                  <c:v>2375</c:v>
                </c:pt>
                <c:pt idx="226">
                  <c:v>2370</c:v>
                </c:pt>
                <c:pt idx="227">
                  <c:v>2370</c:v>
                </c:pt>
                <c:pt idx="228">
                  <c:v>2370</c:v>
                </c:pt>
                <c:pt idx="229">
                  <c:v>2370</c:v>
                </c:pt>
                <c:pt idx="230">
                  <c:v>2370</c:v>
                </c:pt>
                <c:pt idx="231">
                  <c:v>2370</c:v>
                </c:pt>
                <c:pt idx="232">
                  <c:v>2370</c:v>
                </c:pt>
                <c:pt idx="233">
                  <c:v>2370</c:v>
                </c:pt>
                <c:pt idx="234">
                  <c:v>2370</c:v>
                </c:pt>
                <c:pt idx="235">
                  <c:v>2370</c:v>
                </c:pt>
                <c:pt idx="236">
                  <c:v>2370</c:v>
                </c:pt>
                <c:pt idx="237">
                  <c:v>2370</c:v>
                </c:pt>
                <c:pt idx="238">
                  <c:v>2370</c:v>
                </c:pt>
                <c:pt idx="239">
                  <c:v>2370</c:v>
                </c:pt>
                <c:pt idx="240">
                  <c:v>2370</c:v>
                </c:pt>
                <c:pt idx="241">
                  <c:v>2370</c:v>
                </c:pt>
                <c:pt idx="242">
                  <c:v>2370</c:v>
                </c:pt>
                <c:pt idx="243">
                  <c:v>2370</c:v>
                </c:pt>
                <c:pt idx="244">
                  <c:v>2370</c:v>
                </c:pt>
                <c:pt idx="245">
                  <c:v>2370</c:v>
                </c:pt>
                <c:pt idx="246">
                  <c:v>2370</c:v>
                </c:pt>
                <c:pt idx="247">
                  <c:v>2370</c:v>
                </c:pt>
                <c:pt idx="248">
                  <c:v>2370</c:v>
                </c:pt>
                <c:pt idx="249">
                  <c:v>2370</c:v>
                </c:pt>
                <c:pt idx="250">
                  <c:v>2370</c:v>
                </c:pt>
                <c:pt idx="251">
                  <c:v>2370</c:v>
                </c:pt>
                <c:pt idx="252">
                  <c:v>2375</c:v>
                </c:pt>
                <c:pt idx="253">
                  <c:v>2375</c:v>
                </c:pt>
                <c:pt idx="254">
                  <c:v>2375</c:v>
                </c:pt>
                <c:pt idx="255">
                  <c:v>2375</c:v>
                </c:pt>
                <c:pt idx="256">
                  <c:v>2375</c:v>
                </c:pt>
                <c:pt idx="257">
                  <c:v>2375</c:v>
                </c:pt>
                <c:pt idx="258">
                  <c:v>2375</c:v>
                </c:pt>
                <c:pt idx="259">
                  <c:v>2375</c:v>
                </c:pt>
                <c:pt idx="260">
                  <c:v>2375</c:v>
                </c:pt>
                <c:pt idx="261">
                  <c:v>2375</c:v>
                </c:pt>
                <c:pt idx="262">
                  <c:v>2375</c:v>
                </c:pt>
                <c:pt idx="263">
                  <c:v>2375</c:v>
                </c:pt>
                <c:pt idx="264">
                  <c:v>2375</c:v>
                </c:pt>
                <c:pt idx="265">
                  <c:v>2375</c:v>
                </c:pt>
                <c:pt idx="266">
                  <c:v>2375</c:v>
                </c:pt>
                <c:pt idx="267">
                  <c:v>2375</c:v>
                </c:pt>
                <c:pt idx="268">
                  <c:v>2375</c:v>
                </c:pt>
                <c:pt idx="269">
                  <c:v>2375</c:v>
                </c:pt>
                <c:pt idx="270">
                  <c:v>2375</c:v>
                </c:pt>
                <c:pt idx="271">
                  <c:v>2380</c:v>
                </c:pt>
                <c:pt idx="272">
                  <c:v>2380</c:v>
                </c:pt>
                <c:pt idx="273">
                  <c:v>2380</c:v>
                </c:pt>
                <c:pt idx="274">
                  <c:v>2380</c:v>
                </c:pt>
                <c:pt idx="275">
                  <c:v>2380</c:v>
                </c:pt>
                <c:pt idx="276">
                  <c:v>2380</c:v>
                </c:pt>
                <c:pt idx="277">
                  <c:v>2380</c:v>
                </c:pt>
                <c:pt idx="278">
                  <c:v>2380</c:v>
                </c:pt>
                <c:pt idx="279">
                  <c:v>2380</c:v>
                </c:pt>
                <c:pt idx="280">
                  <c:v>2380</c:v>
                </c:pt>
                <c:pt idx="281">
                  <c:v>2380</c:v>
                </c:pt>
                <c:pt idx="282">
                  <c:v>2380</c:v>
                </c:pt>
                <c:pt idx="283">
                  <c:v>2380</c:v>
                </c:pt>
                <c:pt idx="284">
                  <c:v>2380</c:v>
                </c:pt>
                <c:pt idx="285">
                  <c:v>2380</c:v>
                </c:pt>
                <c:pt idx="286">
                  <c:v>2380</c:v>
                </c:pt>
                <c:pt idx="287">
                  <c:v>2380</c:v>
                </c:pt>
                <c:pt idx="288">
                  <c:v>2380</c:v>
                </c:pt>
                <c:pt idx="289">
                  <c:v>2380</c:v>
                </c:pt>
                <c:pt idx="290">
                  <c:v>2380</c:v>
                </c:pt>
                <c:pt idx="291">
                  <c:v>2380</c:v>
                </c:pt>
                <c:pt idx="292">
                  <c:v>2380</c:v>
                </c:pt>
                <c:pt idx="293">
                  <c:v>2385</c:v>
                </c:pt>
                <c:pt idx="294">
                  <c:v>2385</c:v>
                </c:pt>
                <c:pt idx="295">
                  <c:v>2385</c:v>
                </c:pt>
                <c:pt idx="296">
                  <c:v>2385</c:v>
                </c:pt>
                <c:pt idx="297">
                  <c:v>2380</c:v>
                </c:pt>
                <c:pt idx="298">
                  <c:v>2380</c:v>
                </c:pt>
                <c:pt idx="299">
                  <c:v>2380</c:v>
                </c:pt>
                <c:pt idx="300">
                  <c:v>2380</c:v>
                </c:pt>
                <c:pt idx="301">
                  <c:v>2380</c:v>
                </c:pt>
                <c:pt idx="302">
                  <c:v>2380</c:v>
                </c:pt>
                <c:pt idx="303">
                  <c:v>2380</c:v>
                </c:pt>
                <c:pt idx="304">
                  <c:v>2380</c:v>
                </c:pt>
                <c:pt idx="305">
                  <c:v>2380</c:v>
                </c:pt>
                <c:pt idx="306">
                  <c:v>2380</c:v>
                </c:pt>
                <c:pt idx="307">
                  <c:v>2380</c:v>
                </c:pt>
                <c:pt idx="308">
                  <c:v>2385</c:v>
                </c:pt>
                <c:pt idx="309">
                  <c:v>2385</c:v>
                </c:pt>
                <c:pt idx="310">
                  <c:v>2385</c:v>
                </c:pt>
                <c:pt idx="311">
                  <c:v>2385</c:v>
                </c:pt>
                <c:pt idx="312">
                  <c:v>2385</c:v>
                </c:pt>
                <c:pt idx="313">
                  <c:v>2385</c:v>
                </c:pt>
                <c:pt idx="314">
                  <c:v>2385</c:v>
                </c:pt>
                <c:pt idx="315">
                  <c:v>2385</c:v>
                </c:pt>
                <c:pt idx="316">
                  <c:v>2385</c:v>
                </c:pt>
                <c:pt idx="317">
                  <c:v>2385</c:v>
                </c:pt>
                <c:pt idx="318">
                  <c:v>2385</c:v>
                </c:pt>
                <c:pt idx="319">
                  <c:v>2385</c:v>
                </c:pt>
                <c:pt idx="320">
                  <c:v>2385</c:v>
                </c:pt>
                <c:pt idx="321">
                  <c:v>2385</c:v>
                </c:pt>
                <c:pt idx="322">
                  <c:v>2385</c:v>
                </c:pt>
                <c:pt idx="323">
                  <c:v>2385</c:v>
                </c:pt>
                <c:pt idx="324">
                  <c:v>2385</c:v>
                </c:pt>
                <c:pt idx="325">
                  <c:v>2385</c:v>
                </c:pt>
                <c:pt idx="326">
                  <c:v>2385</c:v>
                </c:pt>
                <c:pt idx="327">
                  <c:v>2380</c:v>
                </c:pt>
                <c:pt idx="328">
                  <c:v>2380</c:v>
                </c:pt>
                <c:pt idx="329">
                  <c:v>2380</c:v>
                </c:pt>
                <c:pt idx="330">
                  <c:v>2380</c:v>
                </c:pt>
                <c:pt idx="331">
                  <c:v>2380</c:v>
                </c:pt>
                <c:pt idx="332">
                  <c:v>2380</c:v>
                </c:pt>
                <c:pt idx="333">
                  <c:v>2380</c:v>
                </c:pt>
                <c:pt idx="334">
                  <c:v>2385</c:v>
                </c:pt>
                <c:pt idx="335">
                  <c:v>2385</c:v>
                </c:pt>
                <c:pt idx="336">
                  <c:v>2385</c:v>
                </c:pt>
                <c:pt idx="337">
                  <c:v>2385</c:v>
                </c:pt>
                <c:pt idx="338">
                  <c:v>2385</c:v>
                </c:pt>
                <c:pt idx="339">
                  <c:v>2385</c:v>
                </c:pt>
                <c:pt idx="340">
                  <c:v>2385</c:v>
                </c:pt>
                <c:pt idx="341">
                  <c:v>2385</c:v>
                </c:pt>
                <c:pt idx="342">
                  <c:v>2385</c:v>
                </c:pt>
                <c:pt idx="343">
                  <c:v>2380</c:v>
                </c:pt>
                <c:pt idx="344">
                  <c:v>2380</c:v>
                </c:pt>
                <c:pt idx="345">
                  <c:v>2380</c:v>
                </c:pt>
                <c:pt idx="346">
                  <c:v>2380</c:v>
                </c:pt>
                <c:pt idx="347">
                  <c:v>2380</c:v>
                </c:pt>
                <c:pt idx="348">
                  <c:v>2380</c:v>
                </c:pt>
                <c:pt idx="349">
                  <c:v>2380</c:v>
                </c:pt>
                <c:pt idx="350">
                  <c:v>2380</c:v>
                </c:pt>
                <c:pt idx="351">
                  <c:v>2380</c:v>
                </c:pt>
                <c:pt idx="352">
                  <c:v>2380</c:v>
                </c:pt>
                <c:pt idx="353">
                  <c:v>2380</c:v>
                </c:pt>
                <c:pt idx="354">
                  <c:v>2380</c:v>
                </c:pt>
                <c:pt idx="355">
                  <c:v>2380</c:v>
                </c:pt>
                <c:pt idx="356">
                  <c:v>2380</c:v>
                </c:pt>
                <c:pt idx="357">
                  <c:v>2380</c:v>
                </c:pt>
                <c:pt idx="358">
                  <c:v>2380</c:v>
                </c:pt>
                <c:pt idx="359">
                  <c:v>2380</c:v>
                </c:pt>
                <c:pt idx="360">
                  <c:v>2380</c:v>
                </c:pt>
                <c:pt idx="361">
                  <c:v>2370</c:v>
                </c:pt>
                <c:pt idx="362">
                  <c:v>2370</c:v>
                </c:pt>
                <c:pt idx="363">
                  <c:v>2370</c:v>
                </c:pt>
                <c:pt idx="364">
                  <c:v>2370</c:v>
                </c:pt>
                <c:pt idx="365">
                  <c:v>2370</c:v>
                </c:pt>
                <c:pt idx="366">
                  <c:v>2370</c:v>
                </c:pt>
                <c:pt idx="367">
                  <c:v>2370</c:v>
                </c:pt>
                <c:pt idx="368">
                  <c:v>2370</c:v>
                </c:pt>
                <c:pt idx="369">
                  <c:v>2370</c:v>
                </c:pt>
                <c:pt idx="370">
                  <c:v>2370</c:v>
                </c:pt>
                <c:pt idx="371">
                  <c:v>2370</c:v>
                </c:pt>
                <c:pt idx="372">
                  <c:v>2370</c:v>
                </c:pt>
                <c:pt idx="373">
                  <c:v>2370</c:v>
                </c:pt>
                <c:pt idx="374">
                  <c:v>2370</c:v>
                </c:pt>
                <c:pt idx="375">
                  <c:v>2370</c:v>
                </c:pt>
                <c:pt idx="376">
                  <c:v>2370</c:v>
                </c:pt>
                <c:pt idx="377">
                  <c:v>2370</c:v>
                </c:pt>
                <c:pt idx="378">
                  <c:v>2370</c:v>
                </c:pt>
                <c:pt idx="379">
                  <c:v>2370</c:v>
                </c:pt>
                <c:pt idx="380">
                  <c:v>2370</c:v>
                </c:pt>
                <c:pt idx="381">
                  <c:v>2370</c:v>
                </c:pt>
                <c:pt idx="382">
                  <c:v>2370</c:v>
                </c:pt>
                <c:pt idx="383">
                  <c:v>2370</c:v>
                </c:pt>
                <c:pt idx="384">
                  <c:v>2370</c:v>
                </c:pt>
                <c:pt idx="385">
                  <c:v>2370</c:v>
                </c:pt>
                <c:pt idx="386">
                  <c:v>2370</c:v>
                </c:pt>
                <c:pt idx="387">
                  <c:v>2370</c:v>
                </c:pt>
                <c:pt idx="388">
                  <c:v>2370</c:v>
                </c:pt>
                <c:pt idx="389">
                  <c:v>2370</c:v>
                </c:pt>
                <c:pt idx="390">
                  <c:v>2370</c:v>
                </c:pt>
                <c:pt idx="391">
                  <c:v>2370</c:v>
                </c:pt>
                <c:pt idx="392">
                  <c:v>2370</c:v>
                </c:pt>
                <c:pt idx="393">
                  <c:v>2370</c:v>
                </c:pt>
                <c:pt idx="394">
                  <c:v>2375</c:v>
                </c:pt>
                <c:pt idx="395">
                  <c:v>2375</c:v>
                </c:pt>
                <c:pt idx="396">
                  <c:v>2375</c:v>
                </c:pt>
                <c:pt idx="397">
                  <c:v>2375</c:v>
                </c:pt>
                <c:pt idx="398">
                  <c:v>2375</c:v>
                </c:pt>
                <c:pt idx="399">
                  <c:v>2375</c:v>
                </c:pt>
                <c:pt idx="400">
                  <c:v>2375</c:v>
                </c:pt>
                <c:pt idx="401">
                  <c:v>2375</c:v>
                </c:pt>
                <c:pt idx="402">
                  <c:v>2375</c:v>
                </c:pt>
                <c:pt idx="403">
                  <c:v>2375</c:v>
                </c:pt>
                <c:pt idx="404">
                  <c:v>2375</c:v>
                </c:pt>
                <c:pt idx="405">
                  <c:v>2375</c:v>
                </c:pt>
                <c:pt idx="406">
                  <c:v>2370</c:v>
                </c:pt>
                <c:pt idx="407">
                  <c:v>2370</c:v>
                </c:pt>
                <c:pt idx="408">
                  <c:v>2370</c:v>
                </c:pt>
                <c:pt idx="409">
                  <c:v>2370</c:v>
                </c:pt>
                <c:pt idx="410">
                  <c:v>2370</c:v>
                </c:pt>
                <c:pt idx="411">
                  <c:v>2370</c:v>
                </c:pt>
                <c:pt idx="412">
                  <c:v>2370</c:v>
                </c:pt>
                <c:pt idx="413">
                  <c:v>2370</c:v>
                </c:pt>
                <c:pt idx="414">
                  <c:v>2370</c:v>
                </c:pt>
                <c:pt idx="415">
                  <c:v>2370</c:v>
                </c:pt>
                <c:pt idx="416">
                  <c:v>2370</c:v>
                </c:pt>
                <c:pt idx="417">
                  <c:v>2370</c:v>
                </c:pt>
                <c:pt idx="418">
                  <c:v>2370</c:v>
                </c:pt>
                <c:pt idx="419">
                  <c:v>2370</c:v>
                </c:pt>
                <c:pt idx="420">
                  <c:v>2370</c:v>
                </c:pt>
                <c:pt idx="421">
                  <c:v>2370</c:v>
                </c:pt>
                <c:pt idx="422">
                  <c:v>2370</c:v>
                </c:pt>
                <c:pt idx="423">
                  <c:v>2370</c:v>
                </c:pt>
                <c:pt idx="424">
                  <c:v>2370</c:v>
                </c:pt>
                <c:pt idx="425">
                  <c:v>2370</c:v>
                </c:pt>
                <c:pt idx="426">
                  <c:v>2370</c:v>
                </c:pt>
                <c:pt idx="427">
                  <c:v>2370</c:v>
                </c:pt>
                <c:pt idx="428">
                  <c:v>2370</c:v>
                </c:pt>
                <c:pt idx="429">
                  <c:v>2370</c:v>
                </c:pt>
                <c:pt idx="430">
                  <c:v>2370</c:v>
                </c:pt>
                <c:pt idx="431">
                  <c:v>2370</c:v>
                </c:pt>
                <c:pt idx="432">
                  <c:v>2370</c:v>
                </c:pt>
                <c:pt idx="433">
                  <c:v>2370</c:v>
                </c:pt>
                <c:pt idx="434">
                  <c:v>2370</c:v>
                </c:pt>
                <c:pt idx="435">
                  <c:v>2370</c:v>
                </c:pt>
                <c:pt idx="436">
                  <c:v>2370</c:v>
                </c:pt>
                <c:pt idx="437">
                  <c:v>2370</c:v>
                </c:pt>
                <c:pt idx="438">
                  <c:v>2370</c:v>
                </c:pt>
                <c:pt idx="439">
                  <c:v>2370</c:v>
                </c:pt>
                <c:pt idx="440">
                  <c:v>2370</c:v>
                </c:pt>
                <c:pt idx="441">
                  <c:v>2370</c:v>
                </c:pt>
                <c:pt idx="442">
                  <c:v>2370</c:v>
                </c:pt>
                <c:pt idx="443">
                  <c:v>2370</c:v>
                </c:pt>
                <c:pt idx="444">
                  <c:v>2370</c:v>
                </c:pt>
                <c:pt idx="445">
                  <c:v>2370</c:v>
                </c:pt>
                <c:pt idx="446">
                  <c:v>2370</c:v>
                </c:pt>
                <c:pt idx="447">
                  <c:v>2365</c:v>
                </c:pt>
                <c:pt idx="448">
                  <c:v>2365</c:v>
                </c:pt>
                <c:pt idx="449">
                  <c:v>2365</c:v>
                </c:pt>
                <c:pt idx="450">
                  <c:v>2365</c:v>
                </c:pt>
                <c:pt idx="451">
                  <c:v>2370</c:v>
                </c:pt>
                <c:pt idx="452">
                  <c:v>2370</c:v>
                </c:pt>
                <c:pt idx="453">
                  <c:v>2370</c:v>
                </c:pt>
                <c:pt idx="454">
                  <c:v>2370</c:v>
                </c:pt>
                <c:pt idx="455">
                  <c:v>2370</c:v>
                </c:pt>
                <c:pt idx="456">
                  <c:v>2370</c:v>
                </c:pt>
                <c:pt idx="457">
                  <c:v>2370</c:v>
                </c:pt>
                <c:pt idx="458">
                  <c:v>2370</c:v>
                </c:pt>
                <c:pt idx="459">
                  <c:v>2370</c:v>
                </c:pt>
                <c:pt idx="460">
                  <c:v>2370</c:v>
                </c:pt>
                <c:pt idx="461">
                  <c:v>2370</c:v>
                </c:pt>
                <c:pt idx="462">
                  <c:v>2370</c:v>
                </c:pt>
                <c:pt idx="463">
                  <c:v>2370</c:v>
                </c:pt>
                <c:pt idx="464">
                  <c:v>2370</c:v>
                </c:pt>
                <c:pt idx="465">
                  <c:v>2370</c:v>
                </c:pt>
                <c:pt idx="466">
                  <c:v>2370</c:v>
                </c:pt>
                <c:pt idx="467">
                  <c:v>2365</c:v>
                </c:pt>
                <c:pt idx="468">
                  <c:v>2365</c:v>
                </c:pt>
                <c:pt idx="469">
                  <c:v>2365</c:v>
                </c:pt>
                <c:pt idx="470">
                  <c:v>2365</c:v>
                </c:pt>
                <c:pt idx="471">
                  <c:v>2365</c:v>
                </c:pt>
                <c:pt idx="472">
                  <c:v>2365</c:v>
                </c:pt>
                <c:pt idx="473">
                  <c:v>2365</c:v>
                </c:pt>
                <c:pt idx="474">
                  <c:v>2365</c:v>
                </c:pt>
                <c:pt idx="475">
                  <c:v>2365</c:v>
                </c:pt>
                <c:pt idx="476">
                  <c:v>2365</c:v>
                </c:pt>
                <c:pt idx="477">
                  <c:v>2365</c:v>
                </c:pt>
                <c:pt idx="478">
                  <c:v>2360</c:v>
                </c:pt>
                <c:pt idx="479">
                  <c:v>2360</c:v>
                </c:pt>
                <c:pt idx="480">
                  <c:v>2360</c:v>
                </c:pt>
                <c:pt idx="481">
                  <c:v>2365</c:v>
                </c:pt>
                <c:pt idx="482">
                  <c:v>2360</c:v>
                </c:pt>
                <c:pt idx="483">
                  <c:v>2355</c:v>
                </c:pt>
                <c:pt idx="484">
                  <c:v>2355</c:v>
                </c:pt>
                <c:pt idx="485">
                  <c:v>2355</c:v>
                </c:pt>
                <c:pt idx="486">
                  <c:v>2355</c:v>
                </c:pt>
                <c:pt idx="487">
                  <c:v>2355</c:v>
                </c:pt>
                <c:pt idx="488">
                  <c:v>2355</c:v>
                </c:pt>
                <c:pt idx="489">
                  <c:v>2350</c:v>
                </c:pt>
                <c:pt idx="490">
                  <c:v>2345</c:v>
                </c:pt>
                <c:pt idx="491">
                  <c:v>2345</c:v>
                </c:pt>
                <c:pt idx="492">
                  <c:v>2345</c:v>
                </c:pt>
                <c:pt idx="493">
                  <c:v>2345</c:v>
                </c:pt>
                <c:pt idx="494">
                  <c:v>2345</c:v>
                </c:pt>
                <c:pt idx="495">
                  <c:v>2345</c:v>
                </c:pt>
                <c:pt idx="496">
                  <c:v>2345</c:v>
                </c:pt>
                <c:pt idx="497">
                  <c:v>2345</c:v>
                </c:pt>
                <c:pt idx="498">
                  <c:v>2345</c:v>
                </c:pt>
                <c:pt idx="499">
                  <c:v>2345</c:v>
                </c:pt>
                <c:pt idx="500">
                  <c:v>2345</c:v>
                </c:pt>
                <c:pt idx="501">
                  <c:v>2345</c:v>
                </c:pt>
                <c:pt idx="502">
                  <c:v>2345</c:v>
                </c:pt>
                <c:pt idx="503">
                  <c:v>2345</c:v>
                </c:pt>
                <c:pt idx="504">
                  <c:v>2345</c:v>
                </c:pt>
                <c:pt idx="505">
                  <c:v>2345</c:v>
                </c:pt>
                <c:pt idx="506">
                  <c:v>2345</c:v>
                </c:pt>
                <c:pt idx="507">
                  <c:v>2350</c:v>
                </c:pt>
                <c:pt idx="508">
                  <c:v>2350</c:v>
                </c:pt>
                <c:pt idx="509">
                  <c:v>2360</c:v>
                </c:pt>
                <c:pt idx="510">
                  <c:v>2360</c:v>
                </c:pt>
                <c:pt idx="511">
                  <c:v>2350</c:v>
                </c:pt>
                <c:pt idx="512">
                  <c:v>2350</c:v>
                </c:pt>
                <c:pt idx="513">
                  <c:v>2350</c:v>
                </c:pt>
                <c:pt idx="514">
                  <c:v>2350</c:v>
                </c:pt>
                <c:pt idx="515">
                  <c:v>2350</c:v>
                </c:pt>
                <c:pt idx="516">
                  <c:v>2350</c:v>
                </c:pt>
                <c:pt idx="517">
                  <c:v>2350</c:v>
                </c:pt>
                <c:pt idx="518">
                  <c:v>2355</c:v>
                </c:pt>
                <c:pt idx="519">
                  <c:v>2355</c:v>
                </c:pt>
                <c:pt idx="520">
                  <c:v>2355</c:v>
                </c:pt>
                <c:pt idx="521">
                  <c:v>2350</c:v>
                </c:pt>
                <c:pt idx="522">
                  <c:v>2350</c:v>
                </c:pt>
                <c:pt idx="523">
                  <c:v>2350</c:v>
                </c:pt>
                <c:pt idx="524">
                  <c:v>2350</c:v>
                </c:pt>
                <c:pt idx="525">
                  <c:v>2350</c:v>
                </c:pt>
                <c:pt idx="526">
                  <c:v>2350</c:v>
                </c:pt>
                <c:pt idx="527">
                  <c:v>2350</c:v>
                </c:pt>
                <c:pt idx="528">
                  <c:v>2350</c:v>
                </c:pt>
                <c:pt idx="529">
                  <c:v>2350</c:v>
                </c:pt>
                <c:pt idx="530">
                  <c:v>2350</c:v>
                </c:pt>
                <c:pt idx="531">
                  <c:v>2350</c:v>
                </c:pt>
                <c:pt idx="532">
                  <c:v>2350</c:v>
                </c:pt>
                <c:pt idx="533">
                  <c:v>2350</c:v>
                </c:pt>
                <c:pt idx="534">
                  <c:v>2350</c:v>
                </c:pt>
                <c:pt idx="535">
                  <c:v>2350</c:v>
                </c:pt>
                <c:pt idx="536">
                  <c:v>2350</c:v>
                </c:pt>
                <c:pt idx="537">
                  <c:v>2350</c:v>
                </c:pt>
                <c:pt idx="538">
                  <c:v>2350</c:v>
                </c:pt>
                <c:pt idx="539">
                  <c:v>2350</c:v>
                </c:pt>
                <c:pt idx="540">
                  <c:v>2350</c:v>
                </c:pt>
                <c:pt idx="541">
                  <c:v>2360</c:v>
                </c:pt>
                <c:pt idx="542">
                  <c:v>2360</c:v>
                </c:pt>
                <c:pt idx="543">
                  <c:v>2360</c:v>
                </c:pt>
                <c:pt idx="544">
                  <c:v>2360</c:v>
                </c:pt>
                <c:pt idx="545">
                  <c:v>2360</c:v>
                </c:pt>
                <c:pt idx="546">
                  <c:v>2360</c:v>
                </c:pt>
                <c:pt idx="547">
                  <c:v>2360</c:v>
                </c:pt>
                <c:pt idx="548">
                  <c:v>2360</c:v>
                </c:pt>
                <c:pt idx="549">
                  <c:v>2360</c:v>
                </c:pt>
                <c:pt idx="550">
                  <c:v>2360</c:v>
                </c:pt>
                <c:pt idx="551">
                  <c:v>2360</c:v>
                </c:pt>
                <c:pt idx="552">
                  <c:v>2360</c:v>
                </c:pt>
                <c:pt idx="553">
                  <c:v>2360</c:v>
                </c:pt>
                <c:pt idx="554">
                  <c:v>2350</c:v>
                </c:pt>
                <c:pt idx="555">
                  <c:v>2350</c:v>
                </c:pt>
                <c:pt idx="556">
                  <c:v>2350</c:v>
                </c:pt>
                <c:pt idx="557">
                  <c:v>2350</c:v>
                </c:pt>
                <c:pt idx="558">
                  <c:v>2350</c:v>
                </c:pt>
                <c:pt idx="559">
                  <c:v>2350</c:v>
                </c:pt>
                <c:pt idx="560">
                  <c:v>2350</c:v>
                </c:pt>
                <c:pt idx="561">
                  <c:v>2350</c:v>
                </c:pt>
                <c:pt idx="562">
                  <c:v>2350</c:v>
                </c:pt>
                <c:pt idx="563">
                  <c:v>2350</c:v>
                </c:pt>
                <c:pt idx="564">
                  <c:v>2350</c:v>
                </c:pt>
                <c:pt idx="565">
                  <c:v>2350</c:v>
                </c:pt>
                <c:pt idx="566">
                  <c:v>2350</c:v>
                </c:pt>
                <c:pt idx="567">
                  <c:v>2360</c:v>
                </c:pt>
                <c:pt idx="568">
                  <c:v>2360</c:v>
                </c:pt>
                <c:pt idx="569">
                  <c:v>2360</c:v>
                </c:pt>
                <c:pt idx="570">
                  <c:v>2360</c:v>
                </c:pt>
                <c:pt idx="571">
                  <c:v>2360</c:v>
                </c:pt>
                <c:pt idx="572">
                  <c:v>2360</c:v>
                </c:pt>
                <c:pt idx="573">
                  <c:v>2355</c:v>
                </c:pt>
                <c:pt idx="574">
                  <c:v>2355</c:v>
                </c:pt>
                <c:pt idx="575">
                  <c:v>2355</c:v>
                </c:pt>
                <c:pt idx="576">
                  <c:v>2355</c:v>
                </c:pt>
                <c:pt idx="577">
                  <c:v>2355</c:v>
                </c:pt>
                <c:pt idx="578">
                  <c:v>2355</c:v>
                </c:pt>
                <c:pt idx="579">
                  <c:v>2355</c:v>
                </c:pt>
                <c:pt idx="580">
                  <c:v>2355</c:v>
                </c:pt>
                <c:pt idx="581">
                  <c:v>2355</c:v>
                </c:pt>
                <c:pt idx="582">
                  <c:v>2355</c:v>
                </c:pt>
                <c:pt idx="583">
                  <c:v>2360</c:v>
                </c:pt>
                <c:pt idx="584">
                  <c:v>2360</c:v>
                </c:pt>
                <c:pt idx="585">
                  <c:v>2360</c:v>
                </c:pt>
                <c:pt idx="586">
                  <c:v>2360</c:v>
                </c:pt>
                <c:pt idx="587">
                  <c:v>2360</c:v>
                </c:pt>
                <c:pt idx="588">
                  <c:v>2360</c:v>
                </c:pt>
                <c:pt idx="589">
                  <c:v>2360</c:v>
                </c:pt>
                <c:pt idx="590">
                  <c:v>2360</c:v>
                </c:pt>
                <c:pt idx="591">
                  <c:v>2360</c:v>
                </c:pt>
                <c:pt idx="592">
                  <c:v>2360</c:v>
                </c:pt>
                <c:pt idx="593">
                  <c:v>2360</c:v>
                </c:pt>
                <c:pt idx="594">
                  <c:v>2360</c:v>
                </c:pt>
                <c:pt idx="595">
                  <c:v>2360</c:v>
                </c:pt>
                <c:pt idx="596">
                  <c:v>2350</c:v>
                </c:pt>
                <c:pt idx="597">
                  <c:v>2350</c:v>
                </c:pt>
                <c:pt idx="598">
                  <c:v>2350</c:v>
                </c:pt>
                <c:pt idx="599">
                  <c:v>2350</c:v>
                </c:pt>
                <c:pt idx="600">
                  <c:v>2350</c:v>
                </c:pt>
                <c:pt idx="601">
                  <c:v>2350</c:v>
                </c:pt>
                <c:pt idx="602">
                  <c:v>2350</c:v>
                </c:pt>
                <c:pt idx="603">
                  <c:v>2350</c:v>
                </c:pt>
                <c:pt idx="604">
                  <c:v>2350</c:v>
                </c:pt>
                <c:pt idx="605">
                  <c:v>2350</c:v>
                </c:pt>
                <c:pt idx="606">
                  <c:v>2350</c:v>
                </c:pt>
                <c:pt idx="607">
                  <c:v>2350</c:v>
                </c:pt>
                <c:pt idx="608">
                  <c:v>2350</c:v>
                </c:pt>
                <c:pt idx="609">
                  <c:v>2350</c:v>
                </c:pt>
                <c:pt idx="610">
                  <c:v>2350</c:v>
                </c:pt>
                <c:pt idx="611">
                  <c:v>2350</c:v>
                </c:pt>
                <c:pt idx="612">
                  <c:v>2350</c:v>
                </c:pt>
                <c:pt idx="613">
                  <c:v>2350</c:v>
                </c:pt>
                <c:pt idx="614">
                  <c:v>2350</c:v>
                </c:pt>
                <c:pt idx="615">
                  <c:v>2350</c:v>
                </c:pt>
                <c:pt idx="616">
                  <c:v>2350</c:v>
                </c:pt>
                <c:pt idx="617">
                  <c:v>2350</c:v>
                </c:pt>
                <c:pt idx="618">
                  <c:v>2345</c:v>
                </c:pt>
                <c:pt idx="619">
                  <c:v>2345</c:v>
                </c:pt>
                <c:pt idx="620">
                  <c:v>2345</c:v>
                </c:pt>
                <c:pt idx="621">
                  <c:v>2345</c:v>
                </c:pt>
                <c:pt idx="622">
                  <c:v>2345</c:v>
                </c:pt>
                <c:pt idx="623">
                  <c:v>2345</c:v>
                </c:pt>
                <c:pt idx="624">
                  <c:v>2345</c:v>
                </c:pt>
                <c:pt idx="625">
                  <c:v>2345</c:v>
                </c:pt>
                <c:pt idx="626">
                  <c:v>2350</c:v>
                </c:pt>
                <c:pt idx="627">
                  <c:v>2350</c:v>
                </c:pt>
                <c:pt idx="628">
                  <c:v>2345</c:v>
                </c:pt>
                <c:pt idx="629">
                  <c:v>2345</c:v>
                </c:pt>
                <c:pt idx="630">
                  <c:v>2345</c:v>
                </c:pt>
                <c:pt idx="631">
                  <c:v>2345</c:v>
                </c:pt>
                <c:pt idx="632">
                  <c:v>2345</c:v>
                </c:pt>
                <c:pt idx="633">
                  <c:v>2345</c:v>
                </c:pt>
                <c:pt idx="634">
                  <c:v>2345</c:v>
                </c:pt>
                <c:pt idx="635">
                  <c:v>2345</c:v>
                </c:pt>
                <c:pt idx="636">
                  <c:v>2345</c:v>
                </c:pt>
                <c:pt idx="637">
                  <c:v>2340</c:v>
                </c:pt>
                <c:pt idx="638">
                  <c:v>2340</c:v>
                </c:pt>
                <c:pt idx="639">
                  <c:v>2340</c:v>
                </c:pt>
                <c:pt idx="640">
                  <c:v>2340</c:v>
                </c:pt>
                <c:pt idx="641">
                  <c:v>2345</c:v>
                </c:pt>
                <c:pt idx="642">
                  <c:v>2335</c:v>
                </c:pt>
                <c:pt idx="643">
                  <c:v>2335</c:v>
                </c:pt>
                <c:pt idx="644">
                  <c:v>2335</c:v>
                </c:pt>
                <c:pt idx="645">
                  <c:v>2335</c:v>
                </c:pt>
                <c:pt idx="646">
                  <c:v>2335</c:v>
                </c:pt>
                <c:pt idx="647">
                  <c:v>2335</c:v>
                </c:pt>
                <c:pt idx="648">
                  <c:v>2335</c:v>
                </c:pt>
                <c:pt idx="649">
                  <c:v>2345</c:v>
                </c:pt>
                <c:pt idx="650">
                  <c:v>2350</c:v>
                </c:pt>
                <c:pt idx="651">
                  <c:v>2345</c:v>
                </c:pt>
                <c:pt idx="652">
                  <c:v>2345</c:v>
                </c:pt>
                <c:pt idx="653">
                  <c:v>2345</c:v>
                </c:pt>
                <c:pt idx="654">
                  <c:v>2350</c:v>
                </c:pt>
                <c:pt idx="655">
                  <c:v>2345</c:v>
                </c:pt>
                <c:pt idx="656">
                  <c:v>2345</c:v>
                </c:pt>
                <c:pt idx="657">
                  <c:v>2355</c:v>
                </c:pt>
                <c:pt idx="658">
                  <c:v>2355</c:v>
                </c:pt>
                <c:pt idx="659">
                  <c:v>2355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E30-48AF-A3D5-B3154AA221BB}"/>
            </c:ext>
          </c:extLst>
        </c:ser>
        <c:ser>
          <c:idx val="1"/>
          <c:order val="1"/>
          <c:tx>
            <c:v>2366.1</c:v>
          </c:tx>
          <c:marker>
            <c:symbol val="none"/>
          </c:marker>
          <c:val>
            <c:numRef>
              <c:f>結算估價!$G$668:$G$1328</c:f>
              <c:numCache>
                <c:formatCode>General</c:formatCode>
                <c:ptCount val="661"/>
                <c:pt idx="0">
                  <c:v>2370</c:v>
                </c:pt>
                <c:pt idx="1">
                  <c:v>2370</c:v>
                </c:pt>
                <c:pt idx="2">
                  <c:v>2370</c:v>
                </c:pt>
                <c:pt idx="3">
                  <c:v>2370</c:v>
                </c:pt>
                <c:pt idx="4">
                  <c:v>2370</c:v>
                </c:pt>
                <c:pt idx="5">
                  <c:v>2370</c:v>
                </c:pt>
                <c:pt idx="6">
                  <c:v>2370</c:v>
                </c:pt>
                <c:pt idx="7">
                  <c:v>2370</c:v>
                </c:pt>
                <c:pt idx="8">
                  <c:v>2370</c:v>
                </c:pt>
                <c:pt idx="9">
                  <c:v>2370</c:v>
                </c:pt>
                <c:pt idx="10">
                  <c:v>2370</c:v>
                </c:pt>
                <c:pt idx="11">
                  <c:v>2370</c:v>
                </c:pt>
                <c:pt idx="12">
                  <c:v>2370</c:v>
                </c:pt>
                <c:pt idx="13">
                  <c:v>2370</c:v>
                </c:pt>
                <c:pt idx="14">
                  <c:v>2370</c:v>
                </c:pt>
                <c:pt idx="15">
                  <c:v>2370</c:v>
                </c:pt>
                <c:pt idx="16">
                  <c:v>2370</c:v>
                </c:pt>
                <c:pt idx="17">
                  <c:v>2370</c:v>
                </c:pt>
                <c:pt idx="18">
                  <c:v>2370</c:v>
                </c:pt>
                <c:pt idx="19">
                  <c:v>2370</c:v>
                </c:pt>
                <c:pt idx="20">
                  <c:v>2370</c:v>
                </c:pt>
                <c:pt idx="21">
                  <c:v>2370</c:v>
                </c:pt>
                <c:pt idx="22">
                  <c:v>2370</c:v>
                </c:pt>
                <c:pt idx="23">
                  <c:v>2370</c:v>
                </c:pt>
                <c:pt idx="24">
                  <c:v>2370</c:v>
                </c:pt>
                <c:pt idx="25">
                  <c:v>2369.8076923076924</c:v>
                </c:pt>
                <c:pt idx="26">
                  <c:v>2369.6296296296296</c:v>
                </c:pt>
                <c:pt idx="27">
                  <c:v>2369.4642857142858</c:v>
                </c:pt>
                <c:pt idx="28">
                  <c:v>2369.3103448275861</c:v>
                </c:pt>
                <c:pt idx="29">
                  <c:v>2369.1666666666665</c:v>
                </c:pt>
                <c:pt idx="30">
                  <c:v>2369.0322580645161</c:v>
                </c:pt>
                <c:pt idx="31">
                  <c:v>2368.90625</c:v>
                </c:pt>
                <c:pt idx="32">
                  <c:v>2368.787878787879</c:v>
                </c:pt>
                <c:pt idx="33">
                  <c:v>2368.6764705882351</c:v>
                </c:pt>
                <c:pt idx="34">
                  <c:v>2368.5714285714284</c:v>
                </c:pt>
                <c:pt idx="35">
                  <c:v>2368.4722222222222</c:v>
                </c:pt>
                <c:pt idx="36">
                  <c:v>2368.3783783783783</c:v>
                </c:pt>
                <c:pt idx="37">
                  <c:v>2368.2894736842104</c:v>
                </c:pt>
                <c:pt idx="38">
                  <c:v>2368.2051282051284</c:v>
                </c:pt>
                <c:pt idx="39">
                  <c:v>2368.125</c:v>
                </c:pt>
                <c:pt idx="40">
                  <c:v>2368.0487804878048</c:v>
                </c:pt>
                <c:pt idx="41">
                  <c:v>2367.9761904761904</c:v>
                </c:pt>
                <c:pt idx="42">
                  <c:v>2367.9069767441861</c:v>
                </c:pt>
                <c:pt idx="43">
                  <c:v>2367.840909090909</c:v>
                </c:pt>
                <c:pt idx="44">
                  <c:v>2367.7777777777778</c:v>
                </c:pt>
                <c:pt idx="45">
                  <c:v>2367.717391304348</c:v>
                </c:pt>
                <c:pt idx="46">
                  <c:v>2367.6595744680849</c:v>
                </c:pt>
                <c:pt idx="47">
                  <c:v>2367.6041666666665</c:v>
                </c:pt>
                <c:pt idx="48">
                  <c:v>2367.5510204081634</c:v>
                </c:pt>
                <c:pt idx="49">
                  <c:v>2367.5</c:v>
                </c:pt>
                <c:pt idx="50">
                  <c:v>2367.4509803921569</c:v>
                </c:pt>
                <c:pt idx="51">
                  <c:v>2367.4038461538462</c:v>
                </c:pt>
                <c:pt idx="52">
                  <c:v>2367.4528301886794</c:v>
                </c:pt>
                <c:pt idx="53">
                  <c:v>2367.5</c:v>
                </c:pt>
                <c:pt idx="54">
                  <c:v>2367.5454545454545</c:v>
                </c:pt>
                <c:pt idx="55">
                  <c:v>2367.5892857142858</c:v>
                </c:pt>
                <c:pt idx="56">
                  <c:v>2367.6315789473683</c:v>
                </c:pt>
                <c:pt idx="57">
                  <c:v>2367.6724137931033</c:v>
                </c:pt>
                <c:pt idx="58">
                  <c:v>2367.7118644067796</c:v>
                </c:pt>
                <c:pt idx="59">
                  <c:v>2367.75</c:v>
                </c:pt>
                <c:pt idx="60">
                  <c:v>2367.7868852459014</c:v>
                </c:pt>
                <c:pt idx="61">
                  <c:v>2367.8225806451615</c:v>
                </c:pt>
                <c:pt idx="62">
                  <c:v>2367.8571428571427</c:v>
                </c:pt>
                <c:pt idx="63">
                  <c:v>2367.890625</c:v>
                </c:pt>
                <c:pt idx="64">
                  <c:v>2367.9230769230771</c:v>
                </c:pt>
                <c:pt idx="65">
                  <c:v>2367.9545454545455</c:v>
                </c:pt>
                <c:pt idx="66">
                  <c:v>2367.9850746268658</c:v>
                </c:pt>
                <c:pt idx="67">
                  <c:v>2368.0147058823532</c:v>
                </c:pt>
                <c:pt idx="68">
                  <c:v>2368.0434782608695</c:v>
                </c:pt>
                <c:pt idx="69">
                  <c:v>2368.0714285714284</c:v>
                </c:pt>
                <c:pt idx="70">
                  <c:v>2368.0985915492956</c:v>
                </c:pt>
                <c:pt idx="71">
                  <c:v>2368.125</c:v>
                </c:pt>
                <c:pt idx="72">
                  <c:v>2368.1506849315069</c:v>
                </c:pt>
                <c:pt idx="73">
                  <c:v>2368.1756756756758</c:v>
                </c:pt>
                <c:pt idx="74">
                  <c:v>2368.1999999999998</c:v>
                </c:pt>
                <c:pt idx="75">
                  <c:v>2368.2236842105262</c:v>
                </c:pt>
                <c:pt idx="76">
                  <c:v>2368.2467532467531</c:v>
                </c:pt>
                <c:pt idx="77">
                  <c:v>2368.2692307692309</c:v>
                </c:pt>
                <c:pt idx="78">
                  <c:v>2368.2911392405063</c:v>
                </c:pt>
                <c:pt idx="79">
                  <c:v>2368.3125</c:v>
                </c:pt>
                <c:pt idx="80">
                  <c:v>2368.3333333333335</c:v>
                </c:pt>
                <c:pt idx="81">
                  <c:v>2368.3536585365855</c:v>
                </c:pt>
                <c:pt idx="82">
                  <c:v>2368.3734939759038</c:v>
                </c:pt>
                <c:pt idx="83">
                  <c:v>2368.3928571428573</c:v>
                </c:pt>
                <c:pt idx="84">
                  <c:v>2368.4117647058824</c:v>
                </c:pt>
                <c:pt idx="85">
                  <c:v>2368.4302325581393</c:v>
                </c:pt>
                <c:pt idx="86">
                  <c:v>2368.4482758620688</c:v>
                </c:pt>
                <c:pt idx="87">
                  <c:v>2368.465909090909</c:v>
                </c:pt>
                <c:pt idx="88">
                  <c:v>2368.4831460674159</c:v>
                </c:pt>
                <c:pt idx="89">
                  <c:v>2368.5</c:v>
                </c:pt>
                <c:pt idx="90">
                  <c:v>2368.5164835164837</c:v>
                </c:pt>
                <c:pt idx="91">
                  <c:v>2368.532608695652</c:v>
                </c:pt>
                <c:pt idx="92">
                  <c:v>2368.5483870967741</c:v>
                </c:pt>
                <c:pt idx="93">
                  <c:v>2368.5638297872342</c:v>
                </c:pt>
                <c:pt idx="94">
                  <c:v>2368.5789473684213</c:v>
                </c:pt>
                <c:pt idx="95">
                  <c:v>2368.59375</c:v>
                </c:pt>
                <c:pt idx="96">
                  <c:v>2368.6082474226805</c:v>
                </c:pt>
                <c:pt idx="97">
                  <c:v>2368.6224489795918</c:v>
                </c:pt>
                <c:pt idx="98">
                  <c:v>2368.6363636363635</c:v>
                </c:pt>
                <c:pt idx="99">
                  <c:v>2368.65</c:v>
                </c:pt>
                <c:pt idx="100">
                  <c:v>2368.6633663366338</c:v>
                </c:pt>
                <c:pt idx="101">
                  <c:v>2368.6764705882351</c:v>
                </c:pt>
                <c:pt idx="102">
                  <c:v>2368.6893203883496</c:v>
                </c:pt>
                <c:pt idx="103">
                  <c:v>2368.7019230769229</c:v>
                </c:pt>
                <c:pt idx="104">
                  <c:v>2368.7142857142858</c:v>
                </c:pt>
                <c:pt idx="105">
                  <c:v>2368.7264150943397</c:v>
                </c:pt>
                <c:pt idx="106">
                  <c:v>2368.7383177570096</c:v>
                </c:pt>
                <c:pt idx="107">
                  <c:v>2368.75</c:v>
                </c:pt>
                <c:pt idx="108">
                  <c:v>2368.7614678899081</c:v>
                </c:pt>
                <c:pt idx="109">
                  <c:v>2368.7727272727275</c:v>
                </c:pt>
                <c:pt idx="110">
                  <c:v>2368.7837837837837</c:v>
                </c:pt>
                <c:pt idx="111">
                  <c:v>2368.7946428571427</c:v>
                </c:pt>
                <c:pt idx="112">
                  <c:v>2368.8053097345132</c:v>
                </c:pt>
                <c:pt idx="113">
                  <c:v>2368.8157894736842</c:v>
                </c:pt>
                <c:pt idx="114">
                  <c:v>2368.782608695652</c:v>
                </c:pt>
                <c:pt idx="115">
                  <c:v>2368.75</c:v>
                </c:pt>
                <c:pt idx="116">
                  <c:v>2368.7179487179487</c:v>
                </c:pt>
                <c:pt idx="117">
                  <c:v>2368.6864406779659</c:v>
                </c:pt>
                <c:pt idx="118">
                  <c:v>2368.6554621848741</c:v>
                </c:pt>
                <c:pt idx="119">
                  <c:v>2368.625</c:v>
                </c:pt>
                <c:pt idx="120">
                  <c:v>2368.595041322314</c:v>
                </c:pt>
                <c:pt idx="121">
                  <c:v>2368.5655737704919</c:v>
                </c:pt>
                <c:pt idx="122">
                  <c:v>2368.5365853658536</c:v>
                </c:pt>
                <c:pt idx="123">
                  <c:v>2368.5080645161293</c:v>
                </c:pt>
                <c:pt idx="124">
                  <c:v>2368.48</c:v>
                </c:pt>
                <c:pt idx="125">
                  <c:v>2368.4523809523807</c:v>
                </c:pt>
                <c:pt idx="126">
                  <c:v>2368.4251968503936</c:v>
                </c:pt>
                <c:pt idx="127">
                  <c:v>2368.3984375</c:v>
                </c:pt>
                <c:pt idx="128">
                  <c:v>2368.3720930232557</c:v>
                </c:pt>
                <c:pt idx="129">
                  <c:v>2368.3461538461538</c:v>
                </c:pt>
                <c:pt idx="130">
                  <c:v>2368.320610687023</c:v>
                </c:pt>
                <c:pt idx="131">
                  <c:v>2368.2954545454545</c:v>
                </c:pt>
                <c:pt idx="132">
                  <c:v>2368.2706766917295</c:v>
                </c:pt>
                <c:pt idx="133">
                  <c:v>2368.2462686567164</c:v>
                </c:pt>
                <c:pt idx="134">
                  <c:v>2368.2222222222222</c:v>
                </c:pt>
                <c:pt idx="135">
                  <c:v>2368.1985294117649</c:v>
                </c:pt>
                <c:pt idx="136">
                  <c:v>2368.175182481752</c:v>
                </c:pt>
                <c:pt idx="137">
                  <c:v>2368.1521739130435</c:v>
                </c:pt>
                <c:pt idx="138">
                  <c:v>2368.1294964028775</c:v>
                </c:pt>
                <c:pt idx="139">
                  <c:v>2368.1071428571427</c:v>
                </c:pt>
                <c:pt idx="140">
                  <c:v>2368.0851063829787</c:v>
                </c:pt>
                <c:pt idx="141">
                  <c:v>2368.0633802816901</c:v>
                </c:pt>
                <c:pt idx="142">
                  <c:v>2368.041958041958</c:v>
                </c:pt>
                <c:pt idx="143">
                  <c:v>2368.0208333333335</c:v>
                </c:pt>
                <c:pt idx="144">
                  <c:v>2368</c:v>
                </c:pt>
                <c:pt idx="145">
                  <c:v>2367.9794520547944</c:v>
                </c:pt>
                <c:pt idx="146">
                  <c:v>2367.9591836734694</c:v>
                </c:pt>
                <c:pt idx="147">
                  <c:v>2367.9391891891892</c:v>
                </c:pt>
                <c:pt idx="148">
                  <c:v>2367.9194630872485</c:v>
                </c:pt>
                <c:pt idx="149">
                  <c:v>2367.9</c:v>
                </c:pt>
                <c:pt idx="150">
                  <c:v>2367.8807947019868</c:v>
                </c:pt>
                <c:pt idx="151">
                  <c:v>2367.8618421052633</c:v>
                </c:pt>
                <c:pt idx="152">
                  <c:v>2367.8431372549021</c:v>
                </c:pt>
                <c:pt idx="153">
                  <c:v>2367.8246753246754</c:v>
                </c:pt>
                <c:pt idx="154">
                  <c:v>2367.8064516129034</c:v>
                </c:pt>
                <c:pt idx="155">
                  <c:v>2367.7884615384614</c:v>
                </c:pt>
                <c:pt idx="156">
                  <c:v>2367.7707006369428</c:v>
                </c:pt>
                <c:pt idx="157">
                  <c:v>2367.753164556962</c:v>
                </c:pt>
                <c:pt idx="158">
                  <c:v>2367.7358490566039</c:v>
                </c:pt>
                <c:pt idx="159">
                  <c:v>2367.71875</c:v>
                </c:pt>
                <c:pt idx="160">
                  <c:v>2367.7018633540374</c:v>
                </c:pt>
                <c:pt idx="161">
                  <c:v>2367.6851851851852</c:v>
                </c:pt>
                <c:pt idx="162">
                  <c:v>2367.6687116564417</c:v>
                </c:pt>
                <c:pt idx="163">
                  <c:v>2367.6524390243903</c:v>
                </c:pt>
                <c:pt idx="164">
                  <c:v>2367.6363636363635</c:v>
                </c:pt>
                <c:pt idx="165">
                  <c:v>2367.6204819277109</c:v>
                </c:pt>
                <c:pt idx="166">
                  <c:v>2367.6047904191619</c:v>
                </c:pt>
                <c:pt idx="167">
                  <c:v>2367.5892857142858</c:v>
                </c:pt>
                <c:pt idx="168">
                  <c:v>2367.5739644970413</c:v>
                </c:pt>
                <c:pt idx="169">
                  <c:v>2367.5588235294117</c:v>
                </c:pt>
                <c:pt idx="170">
                  <c:v>2367.5438596491226</c:v>
                </c:pt>
                <c:pt idx="171">
                  <c:v>2367.5290697674418</c:v>
                </c:pt>
                <c:pt idx="172">
                  <c:v>2367.5433526011561</c:v>
                </c:pt>
                <c:pt idx="173">
                  <c:v>2367.5574712643679</c:v>
                </c:pt>
                <c:pt idx="174">
                  <c:v>2367.5714285714284</c:v>
                </c:pt>
                <c:pt idx="175">
                  <c:v>2367.5852272727275</c:v>
                </c:pt>
                <c:pt idx="176">
                  <c:v>2367.6271186440677</c:v>
                </c:pt>
                <c:pt idx="177">
                  <c:v>2367.6685393258426</c:v>
                </c:pt>
                <c:pt idx="178">
                  <c:v>2367.7094972067039</c:v>
                </c:pt>
                <c:pt idx="179">
                  <c:v>2367.75</c:v>
                </c:pt>
                <c:pt idx="180">
                  <c:v>2367.790055248619</c:v>
                </c:pt>
                <c:pt idx="181">
                  <c:v>2367.8296703296705</c:v>
                </c:pt>
                <c:pt idx="182">
                  <c:v>2367.8688524590166</c:v>
                </c:pt>
                <c:pt idx="183">
                  <c:v>2367.907608695652</c:v>
                </c:pt>
                <c:pt idx="184">
                  <c:v>2367.9459459459458</c:v>
                </c:pt>
                <c:pt idx="185">
                  <c:v>2367.983870967742</c:v>
                </c:pt>
                <c:pt idx="186">
                  <c:v>2368.0213903743315</c:v>
                </c:pt>
                <c:pt idx="187">
                  <c:v>2368.0585106382978</c:v>
                </c:pt>
                <c:pt idx="188">
                  <c:v>2368.0952380952381</c:v>
                </c:pt>
                <c:pt idx="189">
                  <c:v>2368.1315789473683</c:v>
                </c:pt>
                <c:pt idx="190">
                  <c:v>2368.1675392670159</c:v>
                </c:pt>
                <c:pt idx="191">
                  <c:v>2368.203125</c:v>
                </c:pt>
                <c:pt idx="192">
                  <c:v>2368.2383419689118</c:v>
                </c:pt>
                <c:pt idx="193">
                  <c:v>2368.2731958762888</c:v>
                </c:pt>
                <c:pt idx="194">
                  <c:v>2368.3076923076924</c:v>
                </c:pt>
                <c:pt idx="195">
                  <c:v>2368.341836734694</c:v>
                </c:pt>
                <c:pt idx="196">
                  <c:v>2368.3756345177667</c:v>
                </c:pt>
                <c:pt idx="197">
                  <c:v>2368.409090909091</c:v>
                </c:pt>
                <c:pt idx="198">
                  <c:v>2368.4422110552764</c:v>
                </c:pt>
                <c:pt idx="199">
                  <c:v>2368.4749999999999</c:v>
                </c:pt>
                <c:pt idx="200">
                  <c:v>2368.5074626865671</c:v>
                </c:pt>
                <c:pt idx="201">
                  <c:v>2368.5396039603961</c:v>
                </c:pt>
                <c:pt idx="202">
                  <c:v>2368.5714285714284</c:v>
                </c:pt>
                <c:pt idx="203">
                  <c:v>2368.6029411764707</c:v>
                </c:pt>
                <c:pt idx="204">
                  <c:v>2368.6341463414633</c:v>
                </c:pt>
                <c:pt idx="205">
                  <c:v>2368.6650485436894</c:v>
                </c:pt>
                <c:pt idx="206">
                  <c:v>2368.695652173913</c:v>
                </c:pt>
                <c:pt idx="207">
                  <c:v>2368.7019230769229</c:v>
                </c:pt>
                <c:pt idx="208">
                  <c:v>2368.7081339712918</c:v>
                </c:pt>
                <c:pt idx="209">
                  <c:v>2368.7142857142858</c:v>
                </c:pt>
                <c:pt idx="210">
                  <c:v>2368.7203791469196</c:v>
                </c:pt>
                <c:pt idx="211">
                  <c:v>2368.7264150943397</c:v>
                </c:pt>
                <c:pt idx="212">
                  <c:v>2368.7323943661972</c:v>
                </c:pt>
                <c:pt idx="213">
                  <c:v>2368.7383177570096</c:v>
                </c:pt>
                <c:pt idx="214">
                  <c:v>2368.7674418604652</c:v>
                </c:pt>
                <c:pt idx="215">
                  <c:v>2368.7962962962961</c:v>
                </c:pt>
                <c:pt idx="216">
                  <c:v>2368.8248847926266</c:v>
                </c:pt>
                <c:pt idx="217">
                  <c:v>2368.8532110091742</c:v>
                </c:pt>
                <c:pt idx="218">
                  <c:v>2368.8812785388127</c:v>
                </c:pt>
                <c:pt idx="219">
                  <c:v>2368.909090909091</c:v>
                </c:pt>
                <c:pt idx="220">
                  <c:v>2368.9366515837105</c:v>
                </c:pt>
                <c:pt idx="221">
                  <c:v>2368.963963963964</c:v>
                </c:pt>
                <c:pt idx="222">
                  <c:v>2368.9910313901346</c:v>
                </c:pt>
                <c:pt idx="223">
                  <c:v>2369.0178571428573</c:v>
                </c:pt>
                <c:pt idx="224">
                  <c:v>2369.0444444444443</c:v>
                </c:pt>
                <c:pt idx="225">
                  <c:v>2369.070796460177</c:v>
                </c:pt>
                <c:pt idx="226">
                  <c:v>2369.0748898678412</c:v>
                </c:pt>
                <c:pt idx="227">
                  <c:v>2369.0789473684213</c:v>
                </c:pt>
                <c:pt idx="228">
                  <c:v>2369.0829694323143</c:v>
                </c:pt>
                <c:pt idx="229">
                  <c:v>2369.086956521739</c:v>
                </c:pt>
                <c:pt idx="230">
                  <c:v>2369.090909090909</c:v>
                </c:pt>
                <c:pt idx="231">
                  <c:v>2369.094827586207</c:v>
                </c:pt>
                <c:pt idx="232">
                  <c:v>2369.0987124463518</c:v>
                </c:pt>
                <c:pt idx="233">
                  <c:v>2369.102564102564</c:v>
                </c:pt>
                <c:pt idx="234">
                  <c:v>2369.1063829787236</c:v>
                </c:pt>
                <c:pt idx="235">
                  <c:v>2369.1101694915255</c:v>
                </c:pt>
                <c:pt idx="236">
                  <c:v>2369.1139240506327</c:v>
                </c:pt>
                <c:pt idx="237">
                  <c:v>2369.1176470588234</c:v>
                </c:pt>
                <c:pt idx="238">
                  <c:v>2369.121338912134</c:v>
                </c:pt>
                <c:pt idx="239">
                  <c:v>2369.125</c:v>
                </c:pt>
                <c:pt idx="240">
                  <c:v>2369.1286307053942</c:v>
                </c:pt>
                <c:pt idx="241">
                  <c:v>2369.1322314049585</c:v>
                </c:pt>
                <c:pt idx="242">
                  <c:v>2369.1358024691358</c:v>
                </c:pt>
                <c:pt idx="243">
                  <c:v>2369.1393442622953</c:v>
                </c:pt>
                <c:pt idx="244">
                  <c:v>2369.1428571428573</c:v>
                </c:pt>
                <c:pt idx="245">
                  <c:v>2369.1463414634145</c:v>
                </c:pt>
                <c:pt idx="246">
                  <c:v>2369.1497975708503</c:v>
                </c:pt>
                <c:pt idx="247">
                  <c:v>2369.1532258064517</c:v>
                </c:pt>
                <c:pt idx="248">
                  <c:v>2369.1566265060242</c:v>
                </c:pt>
                <c:pt idx="249">
                  <c:v>2369.16</c:v>
                </c:pt>
                <c:pt idx="250">
                  <c:v>2369.1633466135459</c:v>
                </c:pt>
                <c:pt idx="251">
                  <c:v>2369.1666666666665</c:v>
                </c:pt>
                <c:pt idx="252">
                  <c:v>2369.189723320158</c:v>
                </c:pt>
                <c:pt idx="253">
                  <c:v>2369.212598425197</c:v>
                </c:pt>
                <c:pt idx="254">
                  <c:v>2369.2352941176468</c:v>
                </c:pt>
                <c:pt idx="255">
                  <c:v>2369.2578125</c:v>
                </c:pt>
                <c:pt idx="256">
                  <c:v>2369.2801556420231</c:v>
                </c:pt>
                <c:pt idx="257">
                  <c:v>2369.3023255813955</c:v>
                </c:pt>
                <c:pt idx="258">
                  <c:v>2369.3243243243242</c:v>
                </c:pt>
                <c:pt idx="259">
                  <c:v>2369.3461538461538</c:v>
                </c:pt>
                <c:pt idx="260">
                  <c:v>2369.367816091954</c:v>
                </c:pt>
                <c:pt idx="261">
                  <c:v>2369.3893129770991</c:v>
                </c:pt>
                <c:pt idx="262">
                  <c:v>2369.4106463878329</c:v>
                </c:pt>
                <c:pt idx="263">
                  <c:v>2369.431818181818</c:v>
                </c:pt>
                <c:pt idx="264">
                  <c:v>2369.4528301886794</c:v>
                </c:pt>
                <c:pt idx="265">
                  <c:v>2369.4736842105262</c:v>
                </c:pt>
                <c:pt idx="266">
                  <c:v>2369.4943820224721</c:v>
                </c:pt>
                <c:pt idx="267">
                  <c:v>2369.5149253731342</c:v>
                </c:pt>
                <c:pt idx="268">
                  <c:v>2369.5353159851302</c:v>
                </c:pt>
                <c:pt idx="269">
                  <c:v>2369.5555555555557</c:v>
                </c:pt>
                <c:pt idx="270">
                  <c:v>2369.5756457564576</c:v>
                </c:pt>
                <c:pt idx="271">
                  <c:v>2369.6139705882351</c:v>
                </c:pt>
                <c:pt idx="272">
                  <c:v>2369.6520146520147</c:v>
                </c:pt>
                <c:pt idx="273">
                  <c:v>2369.6897810218979</c:v>
                </c:pt>
                <c:pt idx="274">
                  <c:v>2369.7272727272725</c:v>
                </c:pt>
                <c:pt idx="275">
                  <c:v>2369.764492753623</c:v>
                </c:pt>
                <c:pt idx="276">
                  <c:v>2369.8014440433212</c:v>
                </c:pt>
                <c:pt idx="277">
                  <c:v>2369.8381294964029</c:v>
                </c:pt>
                <c:pt idx="278">
                  <c:v>2369.8745519713261</c:v>
                </c:pt>
                <c:pt idx="279">
                  <c:v>2369.9107142857142</c:v>
                </c:pt>
                <c:pt idx="280">
                  <c:v>2369.9466192170817</c:v>
                </c:pt>
                <c:pt idx="281">
                  <c:v>2369.9822695035459</c:v>
                </c:pt>
                <c:pt idx="282">
                  <c:v>2370.0176678445227</c:v>
                </c:pt>
                <c:pt idx="283">
                  <c:v>2370.0528169014083</c:v>
                </c:pt>
                <c:pt idx="284">
                  <c:v>2370.0877192982457</c:v>
                </c:pt>
                <c:pt idx="285">
                  <c:v>2370.1223776223778</c:v>
                </c:pt>
                <c:pt idx="286">
                  <c:v>2370.1567944250869</c:v>
                </c:pt>
                <c:pt idx="287">
                  <c:v>2370.1909722222222</c:v>
                </c:pt>
                <c:pt idx="288">
                  <c:v>2370.2249134948097</c:v>
                </c:pt>
                <c:pt idx="289">
                  <c:v>2370.2586206896553</c:v>
                </c:pt>
                <c:pt idx="290">
                  <c:v>2370.2920962199314</c:v>
                </c:pt>
                <c:pt idx="291">
                  <c:v>2370.3253424657532</c:v>
                </c:pt>
                <c:pt idx="292">
                  <c:v>2370.358361774744</c:v>
                </c:pt>
                <c:pt idx="293">
                  <c:v>2370.408163265306</c:v>
                </c:pt>
                <c:pt idx="294">
                  <c:v>2370.4576271186443</c:v>
                </c:pt>
                <c:pt idx="295">
                  <c:v>2370.5067567567567</c:v>
                </c:pt>
                <c:pt idx="296">
                  <c:v>2370.5555555555557</c:v>
                </c:pt>
                <c:pt idx="297">
                  <c:v>2370.5872483221478</c:v>
                </c:pt>
                <c:pt idx="298">
                  <c:v>2370.6187290969901</c:v>
                </c:pt>
                <c:pt idx="299">
                  <c:v>2370.65</c:v>
                </c:pt>
                <c:pt idx="300">
                  <c:v>2370.6810631229237</c:v>
                </c:pt>
                <c:pt idx="301">
                  <c:v>2370.7119205298013</c:v>
                </c:pt>
                <c:pt idx="302">
                  <c:v>2370.7425742574255</c:v>
                </c:pt>
                <c:pt idx="303">
                  <c:v>2370.7730263157896</c:v>
                </c:pt>
                <c:pt idx="304">
                  <c:v>2370.8032786885246</c:v>
                </c:pt>
                <c:pt idx="305">
                  <c:v>2370.8333333333335</c:v>
                </c:pt>
                <c:pt idx="306">
                  <c:v>2370.8631921824103</c:v>
                </c:pt>
                <c:pt idx="307">
                  <c:v>2370.8928571428573</c:v>
                </c:pt>
                <c:pt idx="308">
                  <c:v>2370.9385113268609</c:v>
                </c:pt>
                <c:pt idx="309">
                  <c:v>2370.983870967742</c:v>
                </c:pt>
                <c:pt idx="310">
                  <c:v>2371.0289389067525</c:v>
                </c:pt>
                <c:pt idx="311">
                  <c:v>2371.0737179487178</c:v>
                </c:pt>
                <c:pt idx="312">
                  <c:v>2371.1182108626199</c:v>
                </c:pt>
                <c:pt idx="313">
                  <c:v>2371.1624203821657</c:v>
                </c:pt>
                <c:pt idx="314">
                  <c:v>2371.2063492063494</c:v>
                </c:pt>
                <c:pt idx="315">
                  <c:v>2371.25</c:v>
                </c:pt>
                <c:pt idx="316">
                  <c:v>2371.2933753943216</c:v>
                </c:pt>
                <c:pt idx="317">
                  <c:v>2371.3364779874214</c:v>
                </c:pt>
                <c:pt idx="318">
                  <c:v>2371.3793103448274</c:v>
                </c:pt>
                <c:pt idx="319">
                  <c:v>2371.421875</c:v>
                </c:pt>
                <c:pt idx="320">
                  <c:v>2371.4641744548285</c:v>
                </c:pt>
                <c:pt idx="321">
                  <c:v>2371.5062111801244</c:v>
                </c:pt>
                <c:pt idx="322">
                  <c:v>2371.5479876160989</c:v>
                </c:pt>
                <c:pt idx="323">
                  <c:v>2371.5895061728397</c:v>
                </c:pt>
                <c:pt idx="324">
                  <c:v>2371.6307692307691</c:v>
                </c:pt>
                <c:pt idx="325">
                  <c:v>2371.6717791411043</c:v>
                </c:pt>
                <c:pt idx="326">
                  <c:v>2371.7125382262998</c:v>
                </c:pt>
                <c:pt idx="327">
                  <c:v>2371.7378048780488</c:v>
                </c:pt>
                <c:pt idx="328">
                  <c:v>2371.7629179331307</c:v>
                </c:pt>
                <c:pt idx="329">
                  <c:v>2371.787878787879</c:v>
                </c:pt>
                <c:pt idx="330">
                  <c:v>2371.8126888217521</c:v>
                </c:pt>
                <c:pt idx="331">
                  <c:v>2371.8373493975905</c:v>
                </c:pt>
                <c:pt idx="332">
                  <c:v>2371.8618618618621</c:v>
                </c:pt>
                <c:pt idx="333">
                  <c:v>2371.8862275449101</c:v>
                </c:pt>
                <c:pt idx="334">
                  <c:v>2371.9253731343283</c:v>
                </c:pt>
                <c:pt idx="335">
                  <c:v>2371.9642857142858</c:v>
                </c:pt>
                <c:pt idx="336">
                  <c:v>2372.0029673590507</c:v>
                </c:pt>
                <c:pt idx="337">
                  <c:v>2372.041420118343</c:v>
                </c:pt>
                <c:pt idx="338">
                  <c:v>2372.0796460176989</c:v>
                </c:pt>
                <c:pt idx="339">
                  <c:v>2372.1176470588234</c:v>
                </c:pt>
                <c:pt idx="340">
                  <c:v>2372.1554252199412</c:v>
                </c:pt>
                <c:pt idx="341">
                  <c:v>2372.1929824561403</c:v>
                </c:pt>
                <c:pt idx="342">
                  <c:v>2372.2303206997085</c:v>
                </c:pt>
                <c:pt idx="343">
                  <c:v>2372.2529069767443</c:v>
                </c:pt>
                <c:pt idx="344">
                  <c:v>2372.2753623188405</c:v>
                </c:pt>
                <c:pt idx="345">
                  <c:v>2372.2976878612717</c:v>
                </c:pt>
                <c:pt idx="346">
                  <c:v>2372.3198847262247</c:v>
                </c:pt>
                <c:pt idx="347">
                  <c:v>2372.3419540229884</c:v>
                </c:pt>
                <c:pt idx="348">
                  <c:v>2372.3638968481378</c:v>
                </c:pt>
                <c:pt idx="349">
                  <c:v>2372.3857142857141</c:v>
                </c:pt>
                <c:pt idx="350">
                  <c:v>2372.4074074074074</c:v>
                </c:pt>
                <c:pt idx="351">
                  <c:v>2372.4289772727275</c:v>
                </c:pt>
                <c:pt idx="352">
                  <c:v>2372.4504249291786</c:v>
                </c:pt>
                <c:pt idx="353">
                  <c:v>2372.4717514124295</c:v>
                </c:pt>
                <c:pt idx="354">
                  <c:v>2372.4929577464791</c:v>
                </c:pt>
                <c:pt idx="355">
                  <c:v>2372.5140449438204</c:v>
                </c:pt>
                <c:pt idx="356">
                  <c:v>2372.5350140056021</c:v>
                </c:pt>
                <c:pt idx="357">
                  <c:v>2372.5558659217877</c:v>
                </c:pt>
                <c:pt idx="358">
                  <c:v>2372.5766016713092</c:v>
                </c:pt>
                <c:pt idx="359">
                  <c:v>2372.5972222222222</c:v>
                </c:pt>
                <c:pt idx="360">
                  <c:v>2372.6177285318558</c:v>
                </c:pt>
                <c:pt idx="361">
                  <c:v>2372.6104972375692</c:v>
                </c:pt>
                <c:pt idx="362">
                  <c:v>2372.6033057851241</c:v>
                </c:pt>
                <c:pt idx="363">
                  <c:v>2372.5961538461538</c:v>
                </c:pt>
                <c:pt idx="364">
                  <c:v>2372.5890410958905</c:v>
                </c:pt>
                <c:pt idx="365">
                  <c:v>2372.5819672131147</c:v>
                </c:pt>
                <c:pt idx="366">
                  <c:v>2372.574931880109</c:v>
                </c:pt>
                <c:pt idx="367">
                  <c:v>2372.5679347826085</c:v>
                </c:pt>
                <c:pt idx="368">
                  <c:v>2372.560975609756</c:v>
                </c:pt>
                <c:pt idx="369">
                  <c:v>2372.5540540540542</c:v>
                </c:pt>
                <c:pt idx="370">
                  <c:v>2372.5471698113206</c:v>
                </c:pt>
                <c:pt idx="371">
                  <c:v>2372.5403225806454</c:v>
                </c:pt>
                <c:pt idx="372">
                  <c:v>2372.5335120643431</c:v>
                </c:pt>
                <c:pt idx="373">
                  <c:v>2372.5267379679144</c:v>
                </c:pt>
                <c:pt idx="374">
                  <c:v>2372.52</c:v>
                </c:pt>
                <c:pt idx="375">
                  <c:v>2372.5132978723404</c:v>
                </c:pt>
                <c:pt idx="376">
                  <c:v>2372.5066312997346</c:v>
                </c:pt>
                <c:pt idx="377">
                  <c:v>2372.5</c:v>
                </c:pt>
                <c:pt idx="378">
                  <c:v>2372.4934036939312</c:v>
                </c:pt>
                <c:pt idx="379">
                  <c:v>2372.4868421052633</c:v>
                </c:pt>
                <c:pt idx="380">
                  <c:v>2372.48031496063</c:v>
                </c:pt>
                <c:pt idx="381">
                  <c:v>2372.4738219895289</c:v>
                </c:pt>
                <c:pt idx="382">
                  <c:v>2372.467362924282</c:v>
                </c:pt>
                <c:pt idx="383">
                  <c:v>2372.4609375</c:v>
                </c:pt>
                <c:pt idx="384">
                  <c:v>2372.4545454545455</c:v>
                </c:pt>
                <c:pt idx="385">
                  <c:v>2372.4481865284974</c:v>
                </c:pt>
                <c:pt idx="386">
                  <c:v>2372.4418604651164</c:v>
                </c:pt>
                <c:pt idx="387">
                  <c:v>2372.4355670103091</c:v>
                </c:pt>
                <c:pt idx="388">
                  <c:v>2372.4293059125962</c:v>
                </c:pt>
                <c:pt idx="389">
                  <c:v>2372.4230769230771</c:v>
                </c:pt>
                <c:pt idx="390">
                  <c:v>2372.4168797953962</c:v>
                </c:pt>
                <c:pt idx="391">
                  <c:v>2372.4107142857142</c:v>
                </c:pt>
                <c:pt idx="392">
                  <c:v>2372.4045801526718</c:v>
                </c:pt>
                <c:pt idx="393">
                  <c:v>2372.3984771573605</c:v>
                </c:pt>
                <c:pt idx="394">
                  <c:v>2372.4050632911394</c:v>
                </c:pt>
                <c:pt idx="395">
                  <c:v>2372.4116161616162</c:v>
                </c:pt>
                <c:pt idx="396">
                  <c:v>2372.418136020151</c:v>
                </c:pt>
                <c:pt idx="397">
                  <c:v>2372.424623115578</c:v>
                </c:pt>
                <c:pt idx="398">
                  <c:v>2372.4310776942357</c:v>
                </c:pt>
                <c:pt idx="399">
                  <c:v>2372.4375</c:v>
                </c:pt>
                <c:pt idx="400">
                  <c:v>2372.4438902743141</c:v>
                </c:pt>
                <c:pt idx="401">
                  <c:v>2372.450248756219</c:v>
                </c:pt>
                <c:pt idx="402">
                  <c:v>2372.4565756823822</c:v>
                </c:pt>
                <c:pt idx="403">
                  <c:v>2372.4628712871286</c:v>
                </c:pt>
                <c:pt idx="404">
                  <c:v>2372.4691358024693</c:v>
                </c:pt>
                <c:pt idx="405">
                  <c:v>2372.4753694581282</c:v>
                </c:pt>
                <c:pt idx="406">
                  <c:v>2372.4692874692873</c:v>
                </c:pt>
                <c:pt idx="407">
                  <c:v>2372.4632352941176</c:v>
                </c:pt>
                <c:pt idx="408">
                  <c:v>2372.4572127139363</c:v>
                </c:pt>
                <c:pt idx="409">
                  <c:v>2372.4512195121952</c:v>
                </c:pt>
                <c:pt idx="410">
                  <c:v>2372.4452554744526</c:v>
                </c:pt>
                <c:pt idx="411">
                  <c:v>2372.4393203883496</c:v>
                </c:pt>
                <c:pt idx="412">
                  <c:v>2372.4334140435835</c:v>
                </c:pt>
                <c:pt idx="413">
                  <c:v>2372.427536231884</c:v>
                </c:pt>
                <c:pt idx="414">
                  <c:v>2372.4216867469881</c:v>
                </c:pt>
                <c:pt idx="415">
                  <c:v>2372.4158653846152</c:v>
                </c:pt>
                <c:pt idx="416">
                  <c:v>2372.4100719424459</c:v>
                </c:pt>
                <c:pt idx="417">
                  <c:v>2372.4043062200958</c:v>
                </c:pt>
                <c:pt idx="418">
                  <c:v>2372.3985680190931</c:v>
                </c:pt>
                <c:pt idx="419">
                  <c:v>2372.3928571428573</c:v>
                </c:pt>
                <c:pt idx="420">
                  <c:v>2372.3871733966744</c:v>
                </c:pt>
                <c:pt idx="421">
                  <c:v>2372.3815165876777</c:v>
                </c:pt>
                <c:pt idx="422">
                  <c:v>2372.3758865248228</c:v>
                </c:pt>
                <c:pt idx="423">
                  <c:v>2372.3702830188681</c:v>
                </c:pt>
                <c:pt idx="424">
                  <c:v>2372.3647058823531</c:v>
                </c:pt>
                <c:pt idx="425">
                  <c:v>2372.3591549295775</c:v>
                </c:pt>
                <c:pt idx="426">
                  <c:v>2372.3536299765806</c:v>
                </c:pt>
                <c:pt idx="427">
                  <c:v>2372.3481308411215</c:v>
                </c:pt>
                <c:pt idx="428">
                  <c:v>2372.3426573426573</c:v>
                </c:pt>
                <c:pt idx="429">
                  <c:v>2372.3372093023254</c:v>
                </c:pt>
                <c:pt idx="430">
                  <c:v>2372.3317865429235</c:v>
                </c:pt>
                <c:pt idx="431">
                  <c:v>2372.3263888888887</c:v>
                </c:pt>
                <c:pt idx="432">
                  <c:v>2372.3210161662819</c:v>
                </c:pt>
                <c:pt idx="433">
                  <c:v>2372.3156682027648</c:v>
                </c:pt>
                <c:pt idx="434">
                  <c:v>2372.3103448275861</c:v>
                </c:pt>
                <c:pt idx="435">
                  <c:v>2372.3050458715597</c:v>
                </c:pt>
                <c:pt idx="436">
                  <c:v>2372.2997711670482</c:v>
                </c:pt>
                <c:pt idx="437">
                  <c:v>2372.294520547945</c:v>
                </c:pt>
                <c:pt idx="438">
                  <c:v>2372.2892938496584</c:v>
                </c:pt>
                <c:pt idx="439">
                  <c:v>2372.284090909091</c:v>
                </c:pt>
                <c:pt idx="440">
                  <c:v>2372.278911564626</c:v>
                </c:pt>
                <c:pt idx="441">
                  <c:v>2372.2737556561087</c:v>
                </c:pt>
                <c:pt idx="442">
                  <c:v>2372.2686230248305</c:v>
                </c:pt>
                <c:pt idx="443">
                  <c:v>2372.2635135135133</c:v>
                </c:pt>
                <c:pt idx="444">
                  <c:v>2372.2584269662921</c:v>
                </c:pt>
                <c:pt idx="445">
                  <c:v>2372.2533632286995</c:v>
                </c:pt>
                <c:pt idx="446">
                  <c:v>2372.2483221476509</c:v>
                </c:pt>
                <c:pt idx="447">
                  <c:v>2372.2321428571427</c:v>
                </c:pt>
                <c:pt idx="448">
                  <c:v>2372.216035634744</c:v>
                </c:pt>
                <c:pt idx="449">
                  <c:v>2372.1999999999998</c:v>
                </c:pt>
                <c:pt idx="450">
                  <c:v>2372.1840354767182</c:v>
                </c:pt>
                <c:pt idx="451">
                  <c:v>2372.179203539823</c:v>
                </c:pt>
                <c:pt idx="452">
                  <c:v>2372.1743929359823</c:v>
                </c:pt>
                <c:pt idx="453">
                  <c:v>2372.1696035242289</c:v>
                </c:pt>
                <c:pt idx="454">
                  <c:v>2372.164835164835</c:v>
                </c:pt>
                <c:pt idx="455">
                  <c:v>2372.1600877192982</c:v>
                </c:pt>
                <c:pt idx="456">
                  <c:v>2372.1553610503283</c:v>
                </c:pt>
                <c:pt idx="457">
                  <c:v>2372.1506550218342</c:v>
                </c:pt>
                <c:pt idx="458">
                  <c:v>2372.1459694989107</c:v>
                </c:pt>
                <c:pt idx="459">
                  <c:v>2372.141304347826</c:v>
                </c:pt>
                <c:pt idx="460">
                  <c:v>2372.1366594360088</c:v>
                </c:pt>
                <c:pt idx="461">
                  <c:v>2372.1320346320344</c:v>
                </c:pt>
                <c:pt idx="462">
                  <c:v>2372.1274298056155</c:v>
                </c:pt>
                <c:pt idx="463">
                  <c:v>2372.1228448275861</c:v>
                </c:pt>
                <c:pt idx="464">
                  <c:v>2372.1182795698924</c:v>
                </c:pt>
                <c:pt idx="465">
                  <c:v>2372.1137339055795</c:v>
                </c:pt>
                <c:pt idx="466">
                  <c:v>2372.1092077087796</c:v>
                </c:pt>
                <c:pt idx="467">
                  <c:v>2372.0940170940171</c:v>
                </c:pt>
                <c:pt idx="468">
                  <c:v>2372.0788912579956</c:v>
                </c:pt>
                <c:pt idx="469">
                  <c:v>2372.0638297872342</c:v>
                </c:pt>
                <c:pt idx="470">
                  <c:v>2372.0488322717624</c:v>
                </c:pt>
                <c:pt idx="471">
                  <c:v>2372.0338983050847</c:v>
                </c:pt>
                <c:pt idx="472">
                  <c:v>2372.0190274841439</c:v>
                </c:pt>
                <c:pt idx="473">
                  <c:v>2372.0042194092825</c:v>
                </c:pt>
                <c:pt idx="474">
                  <c:v>2371.9894736842107</c:v>
                </c:pt>
                <c:pt idx="475">
                  <c:v>2371.9747899159665</c:v>
                </c:pt>
                <c:pt idx="476">
                  <c:v>2371.9601677148848</c:v>
                </c:pt>
                <c:pt idx="477">
                  <c:v>2371.9456066945609</c:v>
                </c:pt>
                <c:pt idx="478">
                  <c:v>2371.9206680584552</c:v>
                </c:pt>
                <c:pt idx="479">
                  <c:v>2371.8958333333335</c:v>
                </c:pt>
                <c:pt idx="480">
                  <c:v>2371.8711018711019</c:v>
                </c:pt>
                <c:pt idx="481">
                  <c:v>2371.8568464730292</c:v>
                </c:pt>
                <c:pt idx="482">
                  <c:v>2371.8322981366459</c:v>
                </c:pt>
                <c:pt idx="483">
                  <c:v>2371.7975206611573</c:v>
                </c:pt>
                <c:pt idx="484">
                  <c:v>2371.7628865979382</c:v>
                </c:pt>
                <c:pt idx="485">
                  <c:v>2371.7283950617284</c:v>
                </c:pt>
                <c:pt idx="486">
                  <c:v>2371.6940451745381</c:v>
                </c:pt>
                <c:pt idx="487">
                  <c:v>2371.6598360655739</c:v>
                </c:pt>
                <c:pt idx="488">
                  <c:v>2371.6257668711655</c:v>
                </c:pt>
                <c:pt idx="489">
                  <c:v>2371.5816326530612</c:v>
                </c:pt>
                <c:pt idx="490">
                  <c:v>2371.5274949083505</c:v>
                </c:pt>
                <c:pt idx="491">
                  <c:v>2371.4735772357722</c:v>
                </c:pt>
                <c:pt idx="492">
                  <c:v>2371.4198782961462</c:v>
                </c:pt>
                <c:pt idx="493">
                  <c:v>2371.3663967611337</c:v>
                </c:pt>
                <c:pt idx="494">
                  <c:v>2371.3131313131312</c:v>
                </c:pt>
                <c:pt idx="495">
                  <c:v>2371.2600806451615</c:v>
                </c:pt>
                <c:pt idx="496">
                  <c:v>2371.2072434607644</c:v>
                </c:pt>
                <c:pt idx="497">
                  <c:v>2371.1546184738954</c:v>
                </c:pt>
                <c:pt idx="498">
                  <c:v>2371.1022044088177</c:v>
                </c:pt>
                <c:pt idx="499">
                  <c:v>2371.0500000000002</c:v>
                </c:pt>
                <c:pt idx="500">
                  <c:v>2370.998003992016</c:v>
                </c:pt>
                <c:pt idx="501">
                  <c:v>2370.9462151394423</c:v>
                </c:pt>
                <c:pt idx="502">
                  <c:v>2370.8946322067595</c:v>
                </c:pt>
                <c:pt idx="503">
                  <c:v>2370.843253968254</c:v>
                </c:pt>
                <c:pt idx="504">
                  <c:v>2370.7920792079208</c:v>
                </c:pt>
                <c:pt idx="505">
                  <c:v>2370.7411067193675</c:v>
                </c:pt>
                <c:pt idx="506">
                  <c:v>2370.6903353057201</c:v>
                </c:pt>
                <c:pt idx="507">
                  <c:v>2370.6496062992128</c:v>
                </c:pt>
                <c:pt idx="508">
                  <c:v>2370.6090373280945</c:v>
                </c:pt>
                <c:pt idx="509">
                  <c:v>2370.5882352941176</c:v>
                </c:pt>
                <c:pt idx="510">
                  <c:v>2370.5675146771036</c:v>
                </c:pt>
                <c:pt idx="511">
                  <c:v>2370.52734375</c:v>
                </c:pt>
                <c:pt idx="512">
                  <c:v>2370.487329434698</c:v>
                </c:pt>
                <c:pt idx="513">
                  <c:v>2370.4474708171206</c:v>
                </c:pt>
                <c:pt idx="514">
                  <c:v>2370.4077669902913</c:v>
                </c:pt>
                <c:pt idx="515">
                  <c:v>2370.3682170542634</c:v>
                </c:pt>
                <c:pt idx="516">
                  <c:v>2370.328820116054</c:v>
                </c:pt>
                <c:pt idx="517">
                  <c:v>2370.2895752895752</c:v>
                </c:pt>
                <c:pt idx="518">
                  <c:v>2370.2601156069363</c:v>
                </c:pt>
                <c:pt idx="519">
                  <c:v>2370.2307692307691</c:v>
                </c:pt>
                <c:pt idx="520">
                  <c:v>2370.2015355086373</c:v>
                </c:pt>
                <c:pt idx="521">
                  <c:v>2370.162835249042</c:v>
                </c:pt>
                <c:pt idx="522">
                  <c:v>2370.1242829827916</c:v>
                </c:pt>
                <c:pt idx="523">
                  <c:v>2370.0858778625952</c:v>
                </c:pt>
                <c:pt idx="524">
                  <c:v>2370.0476190476193</c:v>
                </c:pt>
                <c:pt idx="525">
                  <c:v>2370.0095057034218</c:v>
                </c:pt>
                <c:pt idx="526">
                  <c:v>2369.9715370018976</c:v>
                </c:pt>
                <c:pt idx="527">
                  <c:v>2369.933712121212</c:v>
                </c:pt>
                <c:pt idx="528">
                  <c:v>2369.8960302457467</c:v>
                </c:pt>
                <c:pt idx="529">
                  <c:v>2369.8584905660377</c:v>
                </c:pt>
                <c:pt idx="530">
                  <c:v>2369.8210922787193</c:v>
                </c:pt>
                <c:pt idx="531">
                  <c:v>2369.7838345864661</c:v>
                </c:pt>
                <c:pt idx="532">
                  <c:v>2369.7467166979363</c:v>
                </c:pt>
                <c:pt idx="533">
                  <c:v>2369.7097378277153</c:v>
                </c:pt>
                <c:pt idx="534">
                  <c:v>2369.6728971962616</c:v>
                </c:pt>
                <c:pt idx="535">
                  <c:v>2369.6361940298507</c:v>
                </c:pt>
                <c:pt idx="536">
                  <c:v>2369.5996275605216</c:v>
                </c:pt>
                <c:pt idx="537">
                  <c:v>2369.5631970260224</c:v>
                </c:pt>
                <c:pt idx="538">
                  <c:v>2369.5269016697589</c:v>
                </c:pt>
                <c:pt idx="539">
                  <c:v>2369.4907407407409</c:v>
                </c:pt>
                <c:pt idx="540">
                  <c:v>2369.4547134935306</c:v>
                </c:pt>
                <c:pt idx="541">
                  <c:v>2369.4372693726937</c:v>
                </c:pt>
                <c:pt idx="542">
                  <c:v>2369.4198895027625</c:v>
                </c:pt>
                <c:pt idx="543">
                  <c:v>2369.4025735294117</c:v>
                </c:pt>
                <c:pt idx="544">
                  <c:v>2369.3853211009173</c:v>
                </c:pt>
                <c:pt idx="545">
                  <c:v>2369.368131868132</c:v>
                </c:pt>
                <c:pt idx="546">
                  <c:v>2369.3510054844605</c:v>
                </c:pt>
                <c:pt idx="547">
                  <c:v>2369.3339416058393</c:v>
                </c:pt>
                <c:pt idx="548">
                  <c:v>2369.3169398907103</c:v>
                </c:pt>
                <c:pt idx="549">
                  <c:v>2369.3000000000002</c:v>
                </c:pt>
                <c:pt idx="550">
                  <c:v>2369.2831215970964</c:v>
                </c:pt>
                <c:pt idx="551">
                  <c:v>2369.266304347826</c:v>
                </c:pt>
                <c:pt idx="552">
                  <c:v>2369.249547920434</c:v>
                </c:pt>
                <c:pt idx="553">
                  <c:v>2369.2328519855596</c:v>
                </c:pt>
                <c:pt idx="554">
                  <c:v>2369.198198198198</c:v>
                </c:pt>
                <c:pt idx="555">
                  <c:v>2369.1636690647483</c:v>
                </c:pt>
                <c:pt idx="556">
                  <c:v>2369.1292639138242</c:v>
                </c:pt>
                <c:pt idx="557">
                  <c:v>2369.0949820788533</c:v>
                </c:pt>
                <c:pt idx="558">
                  <c:v>2369.0608228980323</c:v>
                </c:pt>
                <c:pt idx="559">
                  <c:v>2369.0267857142858</c:v>
                </c:pt>
                <c:pt idx="560">
                  <c:v>2368.9928698752228</c:v>
                </c:pt>
                <c:pt idx="561">
                  <c:v>2368.9590747330963</c:v>
                </c:pt>
                <c:pt idx="562">
                  <c:v>2368.9253996447601</c:v>
                </c:pt>
                <c:pt idx="563">
                  <c:v>2368.8918439716313</c:v>
                </c:pt>
                <c:pt idx="564">
                  <c:v>2368.858407079646</c:v>
                </c:pt>
                <c:pt idx="565">
                  <c:v>2368.8250883392225</c:v>
                </c:pt>
                <c:pt idx="566">
                  <c:v>2368.7918871252205</c:v>
                </c:pt>
                <c:pt idx="567">
                  <c:v>2368.7764084507044</c:v>
                </c:pt>
                <c:pt idx="568">
                  <c:v>2368.7609841827766</c:v>
                </c:pt>
                <c:pt idx="569">
                  <c:v>2368.7456140350878</c:v>
                </c:pt>
                <c:pt idx="570">
                  <c:v>2368.7302977232926</c:v>
                </c:pt>
                <c:pt idx="571">
                  <c:v>2368.7150349650351</c:v>
                </c:pt>
                <c:pt idx="572">
                  <c:v>2368.69982547993</c:v>
                </c:pt>
                <c:pt idx="573">
                  <c:v>2368.6759581881533</c:v>
                </c:pt>
                <c:pt idx="574">
                  <c:v>2368.6521739130435</c:v>
                </c:pt>
                <c:pt idx="575">
                  <c:v>2368.6284722222222</c:v>
                </c:pt>
                <c:pt idx="576">
                  <c:v>2368.6048526863083</c:v>
                </c:pt>
                <c:pt idx="577">
                  <c:v>2368.581314878893</c:v>
                </c:pt>
                <c:pt idx="578">
                  <c:v>2368.5578583765114</c:v>
                </c:pt>
                <c:pt idx="579">
                  <c:v>2368.5344827586205</c:v>
                </c:pt>
                <c:pt idx="580">
                  <c:v>2368.511187607573</c:v>
                </c:pt>
                <c:pt idx="581">
                  <c:v>2368.4879725085912</c:v>
                </c:pt>
                <c:pt idx="582">
                  <c:v>2368.4648370497425</c:v>
                </c:pt>
                <c:pt idx="583">
                  <c:v>2368.4503424657532</c:v>
                </c:pt>
                <c:pt idx="584">
                  <c:v>2368.4358974358975</c:v>
                </c:pt>
                <c:pt idx="585">
                  <c:v>2368.4215017064848</c:v>
                </c:pt>
                <c:pt idx="586">
                  <c:v>2368.4071550255535</c:v>
                </c:pt>
                <c:pt idx="587">
                  <c:v>2368.3928571428573</c:v>
                </c:pt>
                <c:pt idx="588">
                  <c:v>2368.3786078098474</c:v>
                </c:pt>
                <c:pt idx="589">
                  <c:v>2368.3644067796608</c:v>
                </c:pt>
                <c:pt idx="590">
                  <c:v>2368.3502538071066</c:v>
                </c:pt>
                <c:pt idx="591">
                  <c:v>2368.3361486486488</c:v>
                </c:pt>
                <c:pt idx="592">
                  <c:v>2368.3220910623945</c:v>
                </c:pt>
                <c:pt idx="593">
                  <c:v>2368.3080808080808</c:v>
                </c:pt>
                <c:pt idx="594">
                  <c:v>2368.294117647059</c:v>
                </c:pt>
                <c:pt idx="595">
                  <c:v>2368.280201342282</c:v>
                </c:pt>
                <c:pt idx="596">
                  <c:v>2368.2495812395309</c:v>
                </c:pt>
                <c:pt idx="597">
                  <c:v>2368.2190635451507</c:v>
                </c:pt>
                <c:pt idx="598">
                  <c:v>2368.1886477462435</c:v>
                </c:pt>
                <c:pt idx="599">
                  <c:v>2368.1583333333333</c:v>
                </c:pt>
                <c:pt idx="600">
                  <c:v>2368.1281198003326</c:v>
                </c:pt>
                <c:pt idx="601">
                  <c:v>2368.0980066445181</c:v>
                </c:pt>
                <c:pt idx="602">
                  <c:v>2368.067993366501</c:v>
                </c:pt>
                <c:pt idx="603">
                  <c:v>2368.0380794701987</c:v>
                </c:pt>
                <c:pt idx="604">
                  <c:v>2368.0082644628101</c:v>
                </c:pt>
                <c:pt idx="605">
                  <c:v>2367.9785478547856</c:v>
                </c:pt>
                <c:pt idx="606">
                  <c:v>2367.9489291598024</c:v>
                </c:pt>
                <c:pt idx="607">
                  <c:v>2367.9194078947367</c:v>
                </c:pt>
                <c:pt idx="608">
                  <c:v>2367.8899835796387</c:v>
                </c:pt>
                <c:pt idx="609">
                  <c:v>2367.8606557377047</c:v>
                </c:pt>
                <c:pt idx="610">
                  <c:v>2367.8314238952535</c:v>
                </c:pt>
                <c:pt idx="611">
                  <c:v>2367.8022875816991</c:v>
                </c:pt>
                <c:pt idx="612">
                  <c:v>2367.773246329527</c:v>
                </c:pt>
                <c:pt idx="613">
                  <c:v>2367.744299674267</c:v>
                </c:pt>
                <c:pt idx="614">
                  <c:v>2367.7154471544713</c:v>
                </c:pt>
                <c:pt idx="615">
                  <c:v>2367.6866883116882</c:v>
                </c:pt>
                <c:pt idx="616">
                  <c:v>2367.6580226904375</c:v>
                </c:pt>
                <c:pt idx="617">
                  <c:v>2367.6294498381876</c:v>
                </c:pt>
                <c:pt idx="618">
                  <c:v>2367.5928917609049</c:v>
                </c:pt>
                <c:pt idx="619">
                  <c:v>2367.5564516129034</c:v>
                </c:pt>
                <c:pt idx="620">
                  <c:v>2367.5201288244766</c:v>
                </c:pt>
                <c:pt idx="621">
                  <c:v>2367.4839228295818</c:v>
                </c:pt>
                <c:pt idx="622">
                  <c:v>2367.4478330658108</c:v>
                </c:pt>
                <c:pt idx="623">
                  <c:v>2367.4118589743589</c:v>
                </c:pt>
                <c:pt idx="624">
                  <c:v>2367.3760000000002</c:v>
                </c:pt>
                <c:pt idx="625">
                  <c:v>2367.3402555910543</c:v>
                </c:pt>
                <c:pt idx="626">
                  <c:v>2367.3125996810209</c:v>
                </c:pt>
                <c:pt idx="627">
                  <c:v>2367.2850318471337</c:v>
                </c:pt>
                <c:pt idx="628">
                  <c:v>2367.2496025437204</c:v>
                </c:pt>
                <c:pt idx="629">
                  <c:v>2367.2142857142858</c:v>
                </c:pt>
                <c:pt idx="630">
                  <c:v>2367.1790808240889</c:v>
                </c:pt>
                <c:pt idx="631">
                  <c:v>2367.1439873417721</c:v>
                </c:pt>
                <c:pt idx="632">
                  <c:v>2367.1090047393363</c:v>
                </c:pt>
                <c:pt idx="633">
                  <c:v>2367.0741324921137</c:v>
                </c:pt>
                <c:pt idx="634">
                  <c:v>2367.0393700787404</c:v>
                </c:pt>
                <c:pt idx="635">
                  <c:v>2367.0047169811319</c:v>
                </c:pt>
                <c:pt idx="636">
                  <c:v>2366.9701726844582</c:v>
                </c:pt>
                <c:pt idx="637">
                  <c:v>2366.9278996865205</c:v>
                </c:pt>
                <c:pt idx="638">
                  <c:v>2366.885758998435</c:v>
                </c:pt>
                <c:pt idx="639">
                  <c:v>2366.84375</c:v>
                </c:pt>
                <c:pt idx="640">
                  <c:v>2366.8018720748828</c:v>
                </c:pt>
                <c:pt idx="641">
                  <c:v>2366.7679127725855</c:v>
                </c:pt>
                <c:pt idx="642">
                  <c:v>2366.7185069984448</c:v>
                </c:pt>
                <c:pt idx="643">
                  <c:v>2366.6692546583849</c:v>
                </c:pt>
                <c:pt idx="644">
                  <c:v>2366.6201550387595</c:v>
                </c:pt>
                <c:pt idx="645">
                  <c:v>2366.5712074303406</c:v>
                </c:pt>
                <c:pt idx="646">
                  <c:v>2366.5224111282846</c:v>
                </c:pt>
                <c:pt idx="647">
                  <c:v>2366.4737654320988</c:v>
                </c:pt>
                <c:pt idx="648">
                  <c:v>2366.4252696456088</c:v>
                </c:pt>
                <c:pt idx="649">
                  <c:v>2366.3923076923079</c:v>
                </c:pt>
                <c:pt idx="650">
                  <c:v>2366.3671274961598</c:v>
                </c:pt>
                <c:pt idx="651">
                  <c:v>2366.3343558282209</c:v>
                </c:pt>
                <c:pt idx="652">
                  <c:v>2366.3016845329248</c:v>
                </c:pt>
                <c:pt idx="653">
                  <c:v>2366.2691131498473</c:v>
                </c:pt>
                <c:pt idx="654">
                  <c:v>2366.2442748091603</c:v>
                </c:pt>
                <c:pt idx="655">
                  <c:v>2366.2118902439024</c:v>
                </c:pt>
                <c:pt idx="656">
                  <c:v>2366.1796042617962</c:v>
                </c:pt>
                <c:pt idx="657">
                  <c:v>2366.1626139817631</c:v>
                </c:pt>
                <c:pt idx="658">
                  <c:v>2366.145675265554</c:v>
                </c:pt>
                <c:pt idx="659">
                  <c:v>2366.128787878788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E30-48AF-A3D5-B3154AA221BB}"/>
            </c:ext>
          </c:extLst>
        </c:ser>
        <c:marker val="1"/>
        <c:axId val="323235200"/>
        <c:axId val="323253376"/>
      </c:lineChart>
      <c:catAx>
        <c:axId val="323235200"/>
        <c:scaling>
          <c:orientation val="minMax"/>
        </c:scaling>
        <c:axPos val="b"/>
        <c:numFmt formatCode="General" sourceLinked="1"/>
        <c:tickLblPos val="nextTo"/>
        <c:crossAx val="323253376"/>
        <c:crosses val="autoZero"/>
        <c:auto val="1"/>
        <c:lblAlgn val="ctr"/>
        <c:lblOffset val="100"/>
        <c:tickMarkSkip val="60"/>
      </c:catAx>
      <c:valAx>
        <c:axId val="323253376"/>
        <c:scaling>
          <c:orientation val="minMax"/>
        </c:scaling>
        <c:axPos val="l"/>
        <c:majorGridlines/>
        <c:numFmt formatCode="General" sourceLinked="1"/>
        <c:tickLblPos val="nextTo"/>
        <c:crossAx val="323235200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0.16805555555555557"/>
          <c:y val="5.5382400116652389E-3"/>
          <c:w val="0.7673611111111116"/>
          <c:h val="0.13984853455818044"/>
        </c:manualLayout>
      </c:layout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zh-TW" altLang="en-US" sz="1100"/>
              <a:t>聯發科</a:t>
            </a:r>
            <a:r>
              <a:rPr lang="en-US" altLang="zh-TW" sz="1100"/>
              <a:t>/1765</a:t>
            </a:r>
          </a:p>
        </c:rich>
      </c:tx>
      <c:layout>
        <c:manualLayout>
          <c:xMode val="edge"/>
          <c:yMode val="edge"/>
          <c:x val="2.6276276276276447E-2"/>
          <c:y val="6.6177505090688662E-2"/>
        </c:manualLayout>
      </c:layout>
    </c:title>
    <c:plotArea>
      <c:layout>
        <c:manualLayout>
          <c:layoutTarget val="inner"/>
          <c:xMode val="edge"/>
          <c:yMode val="edge"/>
          <c:x val="0.11443628668038119"/>
          <c:y val="0.2971925800136988"/>
          <c:w val="0.84427242202832764"/>
          <c:h val="0.57705163292849437"/>
        </c:manualLayout>
      </c:layout>
      <c:lineChart>
        <c:grouping val="standard"/>
        <c:ser>
          <c:idx val="1"/>
          <c:order val="0"/>
          <c:tx>
            <c:v>(買 1760/ 94)</c:v>
          </c:tx>
          <c:marker>
            <c:symbol val="none"/>
          </c:marker>
          <c:cat>
            <c:numRef>
              <c:f>記錄!$BF$210:$BF$259</c:f>
              <c:numCache>
                <c:formatCode>General</c:formatCode>
                <c:ptCount val="50"/>
              </c:numCache>
            </c:numRef>
          </c:cat>
          <c:val>
            <c:numRef>
              <c:f>記錄!$BH$3698:$BH$3747</c:f>
              <c:numCache>
                <c:formatCode>General</c:formatCode>
                <c:ptCount val="50"/>
              </c:numCache>
            </c:numRef>
          </c:val>
        </c:ser>
        <c:ser>
          <c:idx val="2"/>
          <c:order val="1"/>
          <c:tx>
            <c:v>(賣 1765/ 15)</c:v>
          </c:tx>
          <c:marker>
            <c:symbol val="none"/>
          </c:marker>
          <c:cat>
            <c:numRef>
              <c:f>記錄!$BF$210:$BF$259</c:f>
              <c:numCache>
                <c:formatCode>General</c:formatCode>
                <c:ptCount val="50"/>
              </c:numCache>
            </c:numRef>
          </c:cat>
          <c:val>
            <c:numRef>
              <c:f>記錄!$BK$3698:$BK$3747</c:f>
              <c:numCache>
                <c:formatCode>General</c:formatCode>
                <c:ptCount val="50"/>
              </c:numCache>
            </c:numRef>
          </c:val>
        </c:ser>
        <c:marker val="1"/>
        <c:axId val="323355776"/>
        <c:axId val="323357312"/>
      </c:lineChart>
      <c:catAx>
        <c:axId val="323355776"/>
        <c:scaling>
          <c:orientation val="minMax"/>
        </c:scaling>
        <c:delete val="1"/>
        <c:axPos val="b"/>
        <c:numFmt formatCode="General" sourceLinked="1"/>
        <c:tickLblPos val="nextTo"/>
        <c:crossAx val="323357312"/>
        <c:crosses val="autoZero"/>
        <c:auto val="1"/>
        <c:lblAlgn val="ctr"/>
        <c:lblOffset val="100"/>
      </c:catAx>
      <c:valAx>
        <c:axId val="323357312"/>
        <c:scaling>
          <c:orientation val="minMax"/>
        </c:scaling>
        <c:axPos val="l"/>
        <c:majorGridlines/>
        <c:numFmt formatCode="General" sourceLinked="1"/>
        <c:tickLblPos val="nextTo"/>
        <c:crossAx val="323355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610735735735779"/>
          <c:y val="1.4706112242375261E-2"/>
          <c:w val="0.37484984984985226"/>
          <c:h val="0.26592935392111849"/>
        </c:manualLayout>
      </c:layout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zh-TW" altLang="en-US" sz="1100"/>
              <a:t>創意</a:t>
            </a:r>
            <a:r>
              <a:rPr lang="en-US" altLang="zh-TW" sz="1100"/>
              <a:t>/2385</a:t>
            </a:r>
          </a:p>
        </c:rich>
      </c:tx>
      <c:layout>
        <c:manualLayout>
          <c:xMode val="edge"/>
          <c:yMode val="edge"/>
          <c:x val="2.627627627627643E-2"/>
          <c:y val="6.6177505090688662E-2"/>
        </c:manualLayout>
      </c:layout>
    </c:title>
    <c:plotArea>
      <c:layout>
        <c:manualLayout>
          <c:layoutTarget val="inner"/>
          <c:xMode val="edge"/>
          <c:yMode val="edge"/>
          <c:x val="9.5404755148850023E-2"/>
          <c:y val="0.2971925800136988"/>
          <c:w val="0.863303953559861"/>
          <c:h val="0.57705163292849437"/>
        </c:manualLayout>
      </c:layout>
      <c:lineChart>
        <c:grouping val="standard"/>
        <c:ser>
          <c:idx val="1"/>
          <c:order val="0"/>
          <c:tx>
            <c:v>(買 2385/ 4)</c:v>
          </c:tx>
          <c:marker>
            <c:symbol val="none"/>
          </c:marker>
          <c:cat>
            <c:numRef>
              <c:f>記錄!$H$3010:$H$3059</c:f>
              <c:numCache>
                <c:formatCode>General</c:formatCode>
                <c:ptCount val="50"/>
              </c:numCache>
            </c:numRef>
          </c:cat>
          <c:val>
            <c:numRef>
              <c:f>記錄!$J$2715:$J$2764</c:f>
              <c:numCache>
                <c:formatCode>General</c:formatCode>
                <c:ptCount val="50"/>
              </c:numCache>
            </c:numRef>
          </c:val>
        </c:ser>
        <c:ser>
          <c:idx val="2"/>
          <c:order val="1"/>
          <c:tx>
            <c:v>(賣 2390/ 10)</c:v>
          </c:tx>
          <c:marker>
            <c:symbol val="none"/>
          </c:marker>
          <c:cat>
            <c:numRef>
              <c:f>記錄!$H$3010:$H$3059</c:f>
              <c:numCache>
                <c:formatCode>General</c:formatCode>
                <c:ptCount val="50"/>
              </c:numCache>
            </c:numRef>
          </c:cat>
          <c:val>
            <c:numRef>
              <c:f>記錄!$M$2715:$M$2764</c:f>
              <c:numCache>
                <c:formatCode>General</c:formatCode>
                <c:ptCount val="50"/>
              </c:numCache>
            </c:numRef>
          </c:val>
        </c:ser>
        <c:marker val="1"/>
        <c:axId val="323378560"/>
        <c:axId val="323404928"/>
      </c:lineChart>
      <c:catAx>
        <c:axId val="323378560"/>
        <c:scaling>
          <c:orientation val="minMax"/>
        </c:scaling>
        <c:delete val="1"/>
        <c:axPos val="b"/>
        <c:numFmt formatCode="General" sourceLinked="1"/>
        <c:tickLblPos val="nextTo"/>
        <c:crossAx val="323404928"/>
        <c:crosses val="autoZero"/>
        <c:auto val="1"/>
        <c:lblAlgn val="ctr"/>
        <c:lblOffset val="100"/>
      </c:catAx>
      <c:valAx>
        <c:axId val="323404928"/>
        <c:scaling>
          <c:orientation val="minMax"/>
        </c:scaling>
        <c:axPos val="l"/>
        <c:majorGridlines/>
        <c:numFmt formatCode="General" sourceLinked="1"/>
        <c:tickLblPos val="nextTo"/>
        <c:crossAx val="323378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145645645645669"/>
          <c:y val="3.6765280605938144E-2"/>
          <c:w val="0.31854354354354358"/>
          <c:h val="0.26592935392111849"/>
        </c:manualLayout>
      </c:layout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2</xdr:col>
      <xdr:colOff>19051</xdr:colOff>
      <xdr:row>1</xdr:row>
      <xdr:rowOff>26377</xdr:rowOff>
    </xdr:to>
    <xdr:sp macro="" textlink="">
      <xdr:nvSpPr>
        <xdr:cNvPr id="2" name="cmdReg" hidden="1">
          <a:extLst>
            <a:ext uri="{63B3BB69-23CF-44E3-9099-C40C66FF867C}">
              <a14:compatExt xmlns:a14="http://schemas.microsoft.com/office/drawing/2010/main" xmlns="" spid="_x0000_s1026"/>
            </a:ex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 bwMode="auto">
        <a:xfrm>
          <a:off x="180975" y="9525"/>
          <a:ext cx="1676400" cy="226402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9525</xdr:colOff>
      <xdr:row>0</xdr:row>
      <xdr:rowOff>9525</xdr:rowOff>
    </xdr:from>
    <xdr:to>
      <xdr:col>16</xdr:col>
      <xdr:colOff>47625</xdr:colOff>
      <xdr:row>1</xdr:row>
      <xdr:rowOff>26377</xdr:rowOff>
    </xdr:to>
    <xdr:sp macro="" textlink="">
      <xdr:nvSpPr>
        <xdr:cNvPr id="3" name="cmdAlert" hidden="1">
          <a:extLst>
            <a:ext uri="{63B3BB69-23CF-44E3-9099-C40C66FF867C}">
              <a14:compatExt xmlns:a14="http://schemas.microsoft.com/office/drawing/2010/main" xmlns="" spid="_x0000_s1027"/>
            </a:ex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 bwMode="auto">
        <a:xfrm>
          <a:off x="10258425" y="9525"/>
          <a:ext cx="723899" cy="226402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16151</xdr:colOff>
      <xdr:row>27</xdr:row>
      <xdr:rowOff>203759</xdr:rowOff>
    </xdr:from>
    <xdr:to>
      <xdr:col>21</xdr:col>
      <xdr:colOff>57978</xdr:colOff>
      <xdr:row>37</xdr:row>
      <xdr:rowOff>57980</xdr:rowOff>
    </xdr:to>
    <xdr:graphicFrame macro="">
      <xdr:nvGraphicFramePr>
        <xdr:cNvPr id="6" name="結算台積電">
          <a:extLst>
            <a:ext uri="{FF2B5EF4-FFF2-40B4-BE49-F238E27FC236}">
              <a16:creationId xmlns:a16="http://schemas.microsoft.com/office/drawing/2014/main" xmlns="" id="{46FA2F49-87BA-36BE-10C2-3C7163F38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11596</xdr:colOff>
      <xdr:row>19</xdr:row>
      <xdr:rowOff>123002</xdr:rowOff>
    </xdr:from>
    <xdr:to>
      <xdr:col>21</xdr:col>
      <xdr:colOff>16564</xdr:colOff>
      <xdr:row>28</xdr:row>
      <xdr:rowOff>16565</xdr:rowOff>
    </xdr:to>
    <xdr:graphicFrame macro="">
      <xdr:nvGraphicFramePr>
        <xdr:cNvPr id="8" name="結算聯發科">
          <a:extLst>
            <a:ext uri="{FF2B5EF4-FFF2-40B4-BE49-F238E27FC236}">
              <a16:creationId xmlns:a16="http://schemas.microsoft.com/office/drawing/2014/main" xmlns="" id="{EBB4855C-095C-C267-55D1-B5496DB1ED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21122</xdr:colOff>
      <xdr:row>11</xdr:row>
      <xdr:rowOff>34793</xdr:rowOff>
    </xdr:from>
    <xdr:to>
      <xdr:col>21</xdr:col>
      <xdr:colOff>8284</xdr:colOff>
      <xdr:row>19</xdr:row>
      <xdr:rowOff>115956</xdr:rowOff>
    </xdr:to>
    <xdr:graphicFrame macro="">
      <xdr:nvGraphicFramePr>
        <xdr:cNvPr id="9" name="結算創意">
          <a:extLst>
            <a:ext uri="{FF2B5EF4-FFF2-40B4-BE49-F238E27FC236}">
              <a16:creationId xmlns:a16="http://schemas.microsoft.com/office/drawing/2014/main" xmlns="" id="{3B8252E1-476A-6102-FAF4-6293C4CA6B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23192</xdr:colOff>
      <xdr:row>37</xdr:row>
      <xdr:rowOff>124246</xdr:rowOff>
    </xdr:from>
    <xdr:to>
      <xdr:col>21</xdr:col>
      <xdr:colOff>202096</xdr:colOff>
      <xdr:row>48</xdr:row>
      <xdr:rowOff>41089</xdr:rowOff>
    </xdr:to>
    <xdr:graphicFrame macro="">
      <xdr:nvGraphicFramePr>
        <xdr:cNvPr id="10" name="結算大立光">
          <a:extLst>
            <a:ext uri="{FF2B5EF4-FFF2-40B4-BE49-F238E27FC236}">
              <a16:creationId xmlns:a16="http://schemas.microsoft.com/office/drawing/2014/main" xmlns="" id="{883475CE-68C4-0953-54E7-DC148B2EF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1060173</xdr:colOff>
      <xdr:row>27</xdr:row>
      <xdr:rowOff>107673</xdr:rowOff>
    </xdr:from>
    <xdr:to>
      <xdr:col>6</xdr:col>
      <xdr:colOff>260735</xdr:colOff>
      <xdr:row>35</xdr:row>
      <xdr:rowOff>178324</xdr:rowOff>
    </xdr:to>
    <xdr:graphicFrame macro="">
      <xdr:nvGraphicFramePr>
        <xdr:cNvPr id="13" name="C聯發科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472109</xdr:colOff>
      <xdr:row>27</xdr:row>
      <xdr:rowOff>82828</xdr:rowOff>
    </xdr:from>
    <xdr:to>
      <xdr:col>12</xdr:col>
      <xdr:colOff>12259</xdr:colOff>
      <xdr:row>35</xdr:row>
      <xdr:rowOff>153479</xdr:rowOff>
    </xdr:to>
    <xdr:graphicFrame macro="">
      <xdr:nvGraphicFramePr>
        <xdr:cNvPr id="16" name="C創意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628650</xdr:colOff>
      <xdr:row>7</xdr:row>
      <xdr:rowOff>57150</xdr:rowOff>
    </xdr:from>
    <xdr:to>
      <xdr:col>14</xdr:col>
      <xdr:colOff>637611</xdr:colOff>
      <xdr:row>39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xmlns="" id="{E2D75A0E-B39E-52A8-73AB-7837500BD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29350" y="1562100"/>
          <a:ext cx="4123761" cy="6686550"/>
        </a:xfrm>
        <a:prstGeom prst="rect">
          <a:avLst/>
        </a:prstGeom>
      </xdr:spPr>
    </xdr:pic>
    <xdr:clientData/>
  </xdr:twoCellAnchor>
</xdr:wsDr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AppData\Roaming\Microsoft\AddIns\MyAddIn.xlam" TargetMode="External"/></Relationships>
</file>

<file path=xl/externalLinks/externalLink1.xml><?xml version="1.0" encoding="utf-8"?>
<externalLink xmlns="http://schemas.openxmlformats.org/spreadsheetml/2006/main">
  <ddeLink xmlns:r="http://schemas.openxmlformats.org/officeDocument/2006/relationships" ddeService="MMSDDE" ddeTopic="TWSE">
    <ddeItems>
      <ddeItem name="#001.125" advise="1">
        <values>
          <value>
            <val>33599.54</val>
          </value>
        </values>
      </ddeItem>
      <ddeItem name="#001.130" advise="1">
        <values>
          <value>
            <val>33829.49</val>
          </value>
        </values>
      </ddeItem>
      <ddeItem name="#001.131" advise="1">
        <values>
          <value>
            <val>33322.519999999997</val>
          </value>
        </values>
      </ddeItem>
      <ddeItem name="#001.143" advise="1">
        <values>
          <value>
            <val>133100</val>
          </value>
        </values>
      </ddeItem>
      <ddeItem name="#001.184" advise="1">
        <values>
          <value>
            <val>-73.400000000000006</val>
          </value>
        </values>
      </ddeItem>
      <ddeItem name="#001.185" advise="1">
        <values>
          <value>
            <val>-0.21797900000000001</val>
          </value>
        </values>
      </ddeItem>
      <ddeItem name="#001.2020" advise="1">
        <values>
          <value t="str">
            <val>加權指數</val>
          </value>
        </values>
      </ddeItem>
      <ddeItem name="#001.424" advise="1">
        <values>
          <value>
            <val>6311</val>
          </value>
        </values>
      </ddeItem>
      <ddeItem name="2330.101" advise="1">
        <values>
          <value>
            <val>1885</val>
          </value>
        </values>
      </ddeItem>
      <ddeItem name="2330.102" advise="1">
        <values>
          <value>
            <val>1890</val>
          </value>
        </values>
      </ddeItem>
      <ddeItem name="2330.113" advise="1">
        <values>
          <value>
            <val>1119</val>
          </value>
        </values>
      </ddeItem>
      <ddeItem name="2330.114" advise="1">
        <values>
          <value>
            <val>351</val>
          </value>
        </values>
      </ddeItem>
      <ddeItem name="2330.125" advise="1">
        <values>
          <value>
            <val>1890</val>
          </value>
        </values>
      </ddeItem>
      <ddeItem name="2330.129" advise="1">
        <values>
          <value>
            <val>1900</val>
          </value>
        </values>
      </ddeItem>
      <ddeItem name="2330.130" advise="1">
        <values>
          <value>
            <val>1900</val>
          </value>
        </values>
      </ddeItem>
      <ddeItem name="2330.131" advise="1">
        <values>
          <value>
            <val>1880</val>
          </value>
        </values>
      </ddeItem>
      <ddeItem name="2330.143" advise="1">
        <values>
          <value>
            <val>133000</val>
          </value>
        </values>
      </ddeItem>
      <ddeItem name="2330.184" advise="1">
        <values>
          <value>
            <val>-10</val>
          </value>
        </values>
      </ddeItem>
      <ddeItem name="2330.185" advise="1">
        <values>
          <value>
            <val>-0.52631499999999998</val>
          </value>
        </values>
      </ddeItem>
      <ddeItem name="2330.205" advise="1">
        <values>
          <value t="str">
            <val>-</val>
          </value>
        </values>
      </ddeItem>
      <ddeItem name="2330.404" advise="1">
        <values>
          <value>
            <val>29992</val>
          </value>
        </values>
      </ddeItem>
      <ddeItem name="2330.413" advise="1">
        <values>
          <value>
            <val>4195</val>
          </value>
        </values>
      </ddeItem>
      <ddeItem name="2454.101" advise="1">
        <values>
          <value>
            <val>1760</val>
          </value>
        </values>
      </ddeItem>
      <ddeItem name="2454.102" advise="1">
        <values>
          <value>
            <val>1765</val>
          </value>
        </values>
      </ddeItem>
      <ddeItem name="2454.113" advise="1">
        <values>
          <value>
            <val>94</val>
          </value>
        </values>
      </ddeItem>
      <ddeItem name="2454.114" advise="1">
        <values>
          <value>
            <val>15</val>
          </value>
        </values>
      </ddeItem>
      <ddeItem name="2454.125" advise="1">
        <values>
          <value>
            <val>1765</val>
          </value>
        </values>
      </ddeItem>
      <ddeItem name="2454.129" advise="1">
        <values>
          <value>
            <val>1775</val>
          </value>
        </values>
      </ddeItem>
      <ddeItem name="2454.130" advise="1">
        <values>
          <value>
            <val>1790</val>
          </value>
        </values>
      </ddeItem>
      <ddeItem name="2454.131" advise="1">
        <values>
          <value>
            <val>1735</val>
          </value>
        </values>
      </ddeItem>
      <ddeItem name="2454.143" advise="1">
        <values>
          <value>
            <val>133000</val>
          </value>
        </values>
      </ddeItem>
      <ddeItem name="2454.184" advise="1">
        <values>
          <value>
            <val>-10</val>
          </value>
        </values>
      </ddeItem>
      <ddeItem name="2454.185" advise="1">
        <values>
          <value>
            <val>-0.56337999999999999</val>
          </value>
        </values>
      </ddeItem>
      <ddeItem name="2454.2020" advise="1">
        <values>
          <value t="str">
            <val>聯發科</val>
          </value>
        </values>
      </ddeItem>
      <ddeItem name="2454.404" advise="1">
        <values>
          <value>
            <val>4411</val>
          </value>
        </values>
      </ddeItem>
      <ddeItem name="2454.413" advise="1">
        <values>
          <value>
            <val>398</val>
          </value>
        </values>
      </ddeItem>
      <ddeItem name="3008.125" advise="1">
        <values>
          <value>
            <val>2380</val>
          </value>
        </values>
      </ddeItem>
      <ddeItem name="3443.101" advise="1">
        <values>
          <value>
            <val>2385</val>
          </value>
        </values>
      </ddeItem>
      <ddeItem name="3443.102" advise="1">
        <values>
          <value>
            <val>2390</val>
          </value>
        </values>
      </ddeItem>
      <ddeItem name="3443.113" advise="1">
        <values>
          <value>
            <val>4</val>
          </value>
        </values>
      </ddeItem>
      <ddeItem name="3443.114" advise="1">
        <values>
          <value>
            <val>10</val>
          </value>
        </values>
      </ddeItem>
      <ddeItem name="3443.125" advise="1">
        <values>
          <value>
            <val>2385</val>
          </value>
        </values>
      </ddeItem>
      <ddeItem name="3443.129" advise="1">
        <values>
          <value>
            <val>2355</val>
          </value>
        </values>
      </ddeItem>
      <ddeItem name="3443.130" advise="1">
        <values>
          <value>
            <val>2435</val>
          </value>
        </values>
      </ddeItem>
      <ddeItem name="3443.131" advise="1">
        <values>
          <value>
            <val>2295</val>
          </value>
        </values>
      </ddeItem>
      <ddeItem name="3443.143" advise="1">
        <values>
          <value>
            <val>133000</val>
          </value>
        </values>
      </ddeItem>
      <ddeItem name="3443.184" advise="1">
        <values>
          <value>
            <val>30</val>
          </value>
        </values>
      </ddeItem>
      <ddeItem name="3443.185" advise="1">
        <values>
          <value>
            <val>1.2738849999999999</val>
          </value>
        </values>
      </ddeItem>
      <ddeItem name="3443.2020" advise="1">
        <values>
          <value t="str">
            <val>創意</val>
          </value>
        </values>
      </ddeItem>
      <ddeItem name="3443.404" advise="1">
        <values>
          <value>
            <val>1913</val>
          </value>
        </values>
      </ddeItem>
      <ddeItem name="3443.413" advise="1">
        <values>
          <value>
            <val>79</val>
          </value>
        </values>
      </ddeItem>
      <ddeItem name="3661.101" advise="1">
        <values>
          <value>
            <val>3305</val>
          </value>
        </values>
      </ddeItem>
      <ddeItem name="3661.102" advise="1">
        <values>
          <value>
            <val>3310</val>
          </value>
        </values>
      </ddeItem>
      <ddeItem name="3661.113" advise="1">
        <values>
          <value>
            <val>1</val>
          </value>
        </values>
      </ddeItem>
      <ddeItem name="3661.114" advise="1">
        <values>
          <value>
            <val>14</val>
          </value>
        </values>
      </ddeItem>
      <ddeItem name="3661.125" advise="1">
        <values>
          <value>
            <val>3310</val>
          </value>
        </values>
      </ddeItem>
      <ddeItem name="3661.129" advise="1">
        <values>
          <value>
            <val>3270</val>
          </value>
        </values>
      </ddeItem>
      <ddeItem name="3661.130" advise="1">
        <values>
          <value>
            <val>3355</val>
          </value>
        </values>
      </ddeItem>
      <ddeItem name="3661.131" advise="1">
        <values>
          <value>
            <val>3225</val>
          </value>
        </values>
      </ddeItem>
      <ddeItem name="3661.143" advise="1">
        <values>
          <value>
            <val>133000</val>
          </value>
        </values>
      </ddeItem>
      <ddeItem name="3661.184" advise="1">
        <values>
          <value>
            <val>40</val>
          </value>
        </values>
      </ddeItem>
      <ddeItem name="3661.185" advise="1">
        <values>
          <value>
            <val>1.223241</val>
          </value>
        </values>
      </ddeItem>
      <ddeItem name="3661.2020" advise="1">
        <values>
          <value t="str">
            <val>世芯-KY</val>
          </value>
        </values>
      </ddeItem>
      <ddeItem name="3661.404" advise="1">
        <values>
          <value>
            <val>1073</val>
          </value>
        </values>
      </ddeItem>
      <ddeItem name="3661.413" advise="1">
        <values>
          <value>
            <val>87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>
  <ddeLink xmlns:r="http://schemas.openxmlformats.org/officeDocument/2006/relationships" ddeService="MMSDDE" ddeTopic="FUSA">
    <ddeItems>
      <ddeItem name="StdDocumentName" ole="1" advise="1"/>
      <ddeItem name="WCDF&amp;.101" advise="1">
        <values>
          <value>
            <val>1900</val>
          </value>
        </values>
      </ddeItem>
      <ddeItem name="WCDF&amp;.102" advise="1">
        <values>
          <value>
            <val>1905</val>
          </value>
        </values>
      </ddeItem>
      <ddeItem name="WCDF&amp;.113" advise="1">
        <values>
          <value>
            <val>3</val>
          </value>
        </values>
      </ddeItem>
      <ddeItem name="WCDF&amp;.114" advise="1">
        <values>
          <value>
            <val>57</val>
          </value>
        </values>
      </ddeItem>
      <ddeItem name="WCDF&amp;.125" advise="1">
        <values>
          <value>
            <val>1900</val>
          </value>
        </values>
      </ddeItem>
      <ddeItem name="WCDF&amp;.129" advise="1">
        <values>
          <value>
            <val>1910</val>
          </value>
        </values>
      </ddeItem>
      <ddeItem name="WCDF&amp;.130" advise="1">
        <values>
          <value>
            <val>1915</val>
          </value>
        </values>
      </ddeItem>
      <ddeItem name="WCDF&amp;.131" advise="1">
        <values>
          <value>
            <val>1860</val>
          </value>
        </values>
      </ddeItem>
      <ddeItem name="WCDF&amp;.143" advise="1">
        <values>
          <value>
            <val>134457</val>
          </value>
        </values>
      </ddeItem>
      <ddeItem name="WCDF&amp;.184" advise="1">
        <values>
          <value>
            <val>-10</val>
          </value>
        </values>
      </ddeItem>
      <ddeItem name="WCDF&amp;.185" advise="1">
        <values>
          <value>
            <val>-0.52356000000000003</val>
          </value>
        </values>
      </ddeItem>
      <ddeItem name="WCDF&amp;.2020" advise="1">
        <values>
          <value t="str">
            <val>台積電期貨近一(2603)</val>
          </value>
        </values>
      </ddeItem>
      <ddeItem name="WCDF&amp;.205" advise="1">
        <values>
          <value>
            <val>1910</val>
          </value>
        </values>
      </ddeItem>
      <ddeItem name="WCDF&amp;.404" advise="1">
        <values>
          <value>
            <val>5948</val>
          </value>
        </values>
      </ddeItem>
      <ddeItem name="WCDF&amp;.413" advise="1">
        <values>
          <value>
            <val>1</val>
          </value>
        </values>
      </ddeItem>
      <ddeItem name="WCDF@.101" advise="1">
        <values>
          <value>
            <val>1905</val>
          </value>
        </values>
      </ddeItem>
      <ddeItem name="WCDF@.102" advise="1">
        <values>
          <value>
            <val>1910</val>
          </value>
        </values>
      </ddeItem>
      <ddeItem name="WCDF@.113" advise="1">
        <values>
          <value>
            <val>3</val>
          </value>
        </values>
      </ddeItem>
      <ddeItem name="WCDF@.114" advise="1">
        <values>
          <value>
            <val>6</val>
          </value>
        </values>
      </ddeItem>
      <ddeItem name="WCDF@.125" advise="1">
        <values>
          <value>
            <val>1910</val>
          </value>
        </values>
      </ddeItem>
      <ddeItem name="WCDF@.129" advise="1">
        <values>
          <value>
            <val>1920</val>
          </value>
        </values>
      </ddeItem>
      <ddeItem name="WCDF@.130" advise="1">
        <values>
          <value>
            <val>1920</val>
          </value>
        </values>
      </ddeItem>
      <ddeItem name="WCDF@.131" advise="1">
        <values>
          <value>
            <val>1865</val>
          </value>
        </values>
      </ddeItem>
      <ddeItem name="WCDF@.143" advise="1">
        <values>
          <value>
            <val>134328</val>
          </value>
        </values>
      </ddeItem>
      <ddeItem name="WCDF@.184" advise="1">
        <values>
          <value>
            <val>-10</val>
          </value>
        </values>
      </ddeItem>
      <ddeItem name="WCDF@.185" advise="1">
        <values>
          <value>
            <val>-0.52083299999999999</val>
          </value>
        </values>
      </ddeItem>
      <ddeItem name="WCDF@.2020" advise="1">
        <values>
          <value t="str">
            <val>台積電期貨近二(2604)</val>
          </value>
        </values>
      </ddeItem>
      <ddeItem name="WCDF@.205" advise="1">
        <values>
          <value>
            <val>1920</val>
          </value>
        </values>
      </ddeItem>
      <ddeItem name="WCDF@.404" advise="1">
        <values>
          <value>
            <val>973</val>
          </value>
        </values>
      </ddeItem>
      <ddeItem name="WCDF@.413" advise="1">
        <values>
          <value>
            <val>1</val>
          </value>
        </values>
      </ddeItem>
      <ddeItem name="WDVF&amp;.101" advise="1">
        <values>
          <value>
            <val>1765</val>
          </value>
        </values>
      </ddeItem>
      <ddeItem name="WDVF&amp;.102" advise="1">
        <values>
          <value>
            <val>1775</val>
          </value>
        </values>
      </ddeItem>
      <ddeItem name="WDVF&amp;.113" advise="1">
        <values>
          <value>
            <val>2</val>
          </value>
        </values>
      </ddeItem>
      <ddeItem name="WDVF&amp;.114" advise="1">
        <values>
          <value>
            <val>5</val>
          </value>
        </values>
      </ddeItem>
      <ddeItem name="WDVF&amp;.125" advise="1">
        <values>
          <value>
            <val>1770</val>
          </value>
        </values>
      </ddeItem>
      <ddeItem name="WDVF&amp;.129" advise="1">
        <values>
          <value>
            <val>1775</val>
          </value>
        </values>
      </ddeItem>
      <ddeItem name="WDVF&amp;.130" advise="1">
        <values>
          <value>
            <val>1790</val>
          </value>
        </values>
      </ddeItem>
      <ddeItem name="WDVF&amp;.131" advise="1">
        <values>
          <value>
            <val>1745</val>
          </value>
        </values>
      </ddeItem>
      <ddeItem name="WDVF&amp;.143" advise="1">
        <values>
          <value>
            <val>134101</val>
          </value>
        </values>
      </ddeItem>
      <ddeItem name="WDVF&amp;.184" advise="1">
        <values>
          <value>
            <val>-5</val>
          </value>
        </values>
      </ddeItem>
      <ddeItem name="WDVF&amp;.185" advise="1">
        <values>
          <value>
            <val>-0.28169</val>
          </value>
        </values>
      </ddeItem>
      <ddeItem name="WDVF&amp;.2020" advise="1">
        <values>
          <value t="str">
            <val>聯發科期貨近一(2603)</val>
          </value>
        </values>
      </ddeItem>
      <ddeItem name="WDVF&amp;.205" advise="1">
        <values>
          <value>
            <val>1775</val>
          </value>
        </values>
      </ddeItem>
      <ddeItem name="WDVF&amp;.404" advise="1">
        <values>
          <value>
            <val>537</val>
          </value>
        </values>
      </ddeItem>
      <ddeItem name="WDVF&amp;.413" advise="1">
        <values>
          <value>
            <val>1</val>
          </value>
        </values>
      </ddeItem>
      <ddeItem name="WDVF@.101" advise="1">
        <values>
          <value>
            <val>1770</val>
          </value>
        </values>
      </ddeItem>
      <ddeItem name="WDVF@.102" advise="1">
        <values>
          <value>
            <val>1775</val>
          </value>
        </values>
      </ddeItem>
      <ddeItem name="WDVF@.113" advise="1">
        <values>
          <value>
            <val>1</val>
          </value>
        </values>
      </ddeItem>
      <ddeItem name="WDVF@.114" advise="1">
        <values>
          <value>
            <val>2</val>
          </value>
        </values>
      </ddeItem>
      <ddeItem name="WDVF@.125" advise="1">
        <values>
          <value>
            <val>1775</val>
          </value>
        </values>
      </ddeItem>
      <ddeItem name="WDVF@.129" advise="1">
        <values>
          <value>
            <val>1775</val>
          </value>
        </values>
      </ddeItem>
      <ddeItem name="WDVF@.130" advise="1">
        <values>
          <value>
            <val>1795</val>
          </value>
        </values>
      </ddeItem>
      <ddeItem name="WDVF@.131" advise="1">
        <values>
          <value>
            <val>1760</val>
          </value>
        </values>
      </ddeItem>
      <ddeItem name="WDVF@.143" advise="1">
        <values>
          <value>
            <val>133025</val>
          </value>
        </values>
      </ddeItem>
      <ddeItem name="WDVF@.184" advise="1">
        <values>
          <value>
            <val>0</val>
          </value>
        </values>
      </ddeItem>
      <ddeItem name="WDVF@.185" advise="1">
        <values>
          <value>
            <val>0</val>
          </value>
        </values>
      </ddeItem>
      <ddeItem name="WDVF@.2020" advise="1">
        <values>
          <value t="str">
            <val>聯發科期貨近二(2604)</val>
          </value>
        </values>
      </ddeItem>
      <ddeItem name="WDVF@.205" advise="1">
        <values>
          <value>
            <val>1775</val>
          </value>
        </values>
      </ddeItem>
      <ddeItem name="WDVF@.404" advise="1">
        <values>
          <value>
            <val>42</val>
          </value>
        </values>
      </ddeItem>
      <ddeItem name="WDVF@.413" advise="1">
        <values>
          <value>
            <val>1</val>
          </value>
        </values>
      </ddeItem>
      <ddeItem name="WIJF&amp;.101" advise="1">
        <values>
          <value t="str">
            <val>-</val>
          </value>
        </values>
      </ddeItem>
      <ddeItem name="WIJF&amp;.102" advise="1">
        <values>
          <value t="str">
            <val>-</val>
          </value>
        </values>
      </ddeItem>
      <ddeItem name="WJBF&amp;.101" advise="1">
        <values>
          <value>
            <val>2385</val>
          </value>
        </values>
      </ddeItem>
      <ddeItem name="WJBF&amp;.102" advise="1">
        <values>
          <value>
            <val>2400</val>
          </value>
        </values>
      </ddeItem>
      <ddeItem name="WJBF&amp;.113" advise="1">
        <values>
          <value>
            <val>1</val>
          </value>
        </values>
      </ddeItem>
      <ddeItem name="WJBF&amp;.114" advise="1">
        <values>
          <value>
            <val>1</val>
          </value>
        </values>
      </ddeItem>
      <ddeItem name="WJBF&amp;.125" advise="1">
        <values>
          <value>
            <val>2390</val>
          </value>
        </values>
      </ddeItem>
      <ddeItem name="WJBF&amp;.129" advise="1">
        <values>
          <value>
            <val>2360</val>
          </value>
        </values>
      </ddeItem>
      <ddeItem name="WJBF&amp;.130" advise="1">
        <values>
          <value>
            <val>2430</val>
          </value>
        </values>
      </ddeItem>
      <ddeItem name="WJBF&amp;.131" advise="1">
        <values>
          <value>
            <val>2310</val>
          </value>
        </values>
      </ddeItem>
      <ddeItem name="WJBF&amp;.143" advise="1">
        <values>
          <value>
            <val>132218</val>
          </value>
        </values>
      </ddeItem>
      <ddeItem name="WJBF&amp;.184" advise="1">
        <values>
          <value>
            <val>30</val>
          </value>
        </values>
      </ddeItem>
      <ddeItem name="WJBF&amp;.185" advise="1">
        <values>
          <value>
            <val>1.2711859999999999</val>
          </value>
        </values>
      </ddeItem>
      <ddeItem name="WJBF&amp;.2020" advise="1">
        <values>
          <value t="str">
            <val>創意期貨近一(2603)</val>
          </value>
        </values>
      </ddeItem>
      <ddeItem name="WJBF&amp;.205" advise="1">
        <values>
          <value>
            <val>2360</val>
          </value>
        </values>
      </ddeItem>
      <ddeItem name="WJBF&amp;.404" advise="1">
        <values>
          <value>
            <val>129</val>
          </value>
        </values>
      </ddeItem>
      <ddeItem name="WJBF&amp;.413" advise="1">
        <values>
          <value>
            <val>2</val>
          </value>
        </values>
      </ddeItem>
      <ddeItem name="WJBF@.101" advise="1">
        <values>
          <value>
            <val>2380</val>
          </value>
        </values>
      </ddeItem>
      <ddeItem name="WJBF@.102" advise="1">
        <values>
          <value>
            <val>2415</val>
          </value>
        </values>
      </ddeItem>
      <ddeItem name="WJBF@.113" advise="1">
        <values>
          <value>
            <val>1</val>
          </value>
        </values>
      </ddeItem>
      <ddeItem name="WJBF@.114" advise="1">
        <values>
          <value>
            <val>1</val>
          </value>
        </values>
      </ddeItem>
      <ddeItem name="WJBF@.125" advise="1">
        <values>
          <value>
            <val>2385</val>
          </value>
        </values>
      </ddeItem>
      <ddeItem name="WJBF@.129" advise="1">
        <values>
          <value>
            <val>2370</val>
          </value>
        </values>
      </ddeItem>
      <ddeItem name="WJBF@.130" advise="1">
        <values>
          <value>
            <val>2385</val>
          </value>
        </values>
      </ddeItem>
      <ddeItem name="WJBF@.131" advise="1">
        <values>
          <value>
            <val>2385</val>
          </value>
        </values>
      </ddeItem>
      <ddeItem name="WJBF@.143" advise="1">
        <values>
          <value>
            <val>120811</val>
          </value>
        </values>
      </ddeItem>
      <ddeItem name="WJBF@.184" advise="1">
        <values>
          <value>
            <val>15</val>
          </value>
        </values>
      </ddeItem>
      <ddeItem name="WJBF@.185" advise="1">
        <values>
          <value>
            <val>0.632911</val>
          </value>
        </values>
      </ddeItem>
      <ddeItem name="WJBF@.2020" advise="1">
        <values>
          <value t="str">
            <val>創意期貨近二(2604)</val>
          </value>
        </values>
      </ddeItem>
      <ddeItem name="WJBF@.205" advise="1">
        <values>
          <value>
            <val>2370</val>
          </value>
        </values>
      </ddeItem>
      <ddeItem name="WJBF@.404" advise="1">
        <values>
          <value>
            <val>1</val>
          </value>
        </values>
      </ddeItem>
      <ddeItem name="WJBF@.413" advise="1">
        <values>
          <value>
            <val>1</val>
          </value>
        </values>
      </ddeItem>
      <ddeItem name="WPUF&amp;.101" advise="1">
        <values>
          <value>
            <val>1765</val>
          </value>
        </values>
      </ddeItem>
      <ddeItem name="WPUF&amp;.102" advise="1">
        <values>
          <value>
            <val>1770</val>
          </value>
        </values>
      </ddeItem>
      <ddeItem name="WPUF&amp;.113" advise="1">
        <values>
          <value>
            <val>4</val>
          </value>
        </values>
      </ddeItem>
      <ddeItem name="WPUF&amp;.114" advise="1">
        <values>
          <value>
            <val>9</val>
          </value>
        </values>
      </ddeItem>
      <ddeItem name="WPUF&amp;.125" advise="1">
        <values>
          <value>
            <val>1770</val>
          </value>
        </values>
      </ddeItem>
      <ddeItem name="WPUF&amp;.129" advise="1">
        <values>
          <value>
            <val>1775</val>
          </value>
        </values>
      </ddeItem>
      <ddeItem name="WPUF&amp;.130" advise="1">
        <values>
          <value>
            <val>1790</val>
          </value>
        </values>
      </ddeItem>
      <ddeItem name="WPUF&amp;.131" advise="1">
        <values>
          <value>
            <val>1745</val>
          </value>
        </values>
      </ddeItem>
      <ddeItem name="WPUF&amp;.143" advise="1">
        <values>
          <value>
            <val>134459</val>
          </value>
        </values>
      </ddeItem>
      <ddeItem name="WPUF&amp;.184" advise="1">
        <values>
          <value>
            <val>-5</val>
          </value>
        </values>
      </ddeItem>
      <ddeItem name="WPUF&amp;.185" advise="1">
        <values>
          <value>
            <val>-0.28169</val>
          </value>
        </values>
      </ddeItem>
      <ddeItem name="WPUF&amp;.2020" advise="1">
        <values>
          <value t="str">
            <val>小型聯發科期貨近一(2603)</val>
          </value>
        </values>
      </ddeItem>
      <ddeItem name="WPUF&amp;.205" advise="1">
        <values>
          <value>
            <val>1775</val>
          </value>
        </values>
      </ddeItem>
      <ddeItem name="WPUF&amp;.404" advise="1">
        <values>
          <value>
            <val>1893</val>
          </value>
        </values>
      </ddeItem>
      <ddeItem name="WPUF&amp;.413" advise="1">
        <values>
          <value>
            <val>1</val>
          </value>
        </values>
      </ddeItem>
      <ddeItem name="WPUF@.101" advise="1">
        <values>
          <value>
            <val>1770</val>
          </value>
        </values>
      </ddeItem>
      <ddeItem name="WPUF@.102" advise="1">
        <values>
          <value>
            <val>1775</val>
          </value>
        </values>
      </ddeItem>
      <ddeItem name="WPUF@.113" advise="1">
        <values>
          <value>
            <val>10</val>
          </value>
        </values>
      </ddeItem>
      <ddeItem name="WPUF@.114" advise="1">
        <values>
          <value>
            <val>9</val>
          </value>
        </values>
      </ddeItem>
      <ddeItem name="WPUF@.125" advise="1">
        <values>
          <value>
            <val>1770</val>
          </value>
        </values>
      </ddeItem>
      <ddeItem name="WPUF@.129" advise="1">
        <values>
          <value>
            <val>1775</val>
          </value>
        </values>
      </ddeItem>
      <ddeItem name="WPUF@.130" advise="1">
        <values>
          <value>
            <val>1795</val>
          </value>
        </values>
      </ddeItem>
      <ddeItem name="WPUF@.131" advise="1">
        <values>
          <value>
            <val>1750</val>
          </value>
        </values>
      </ddeItem>
      <ddeItem name="WPUF@.143" advise="1">
        <values>
          <value>
            <val>134456</val>
          </value>
        </values>
      </ddeItem>
      <ddeItem name="WPUF@.184" advise="1">
        <values>
          <value>
            <val>-5</val>
          </value>
        </values>
      </ddeItem>
      <ddeItem name="WPUF@.185" advise="1">
        <values>
          <value>
            <val>-0.28169</val>
          </value>
        </values>
      </ddeItem>
      <ddeItem name="WPUF@.2020" advise="1">
        <values>
          <value t="str">
            <val>小型聯發科期貨近二(2604)</val>
          </value>
        </values>
      </ddeItem>
      <ddeItem name="WPUF@.205" advise="1">
        <values>
          <value>
            <val>1775</val>
          </value>
        </values>
      </ddeItem>
      <ddeItem name="WPUF@.404" advise="1">
        <values>
          <value>
            <val>277</val>
          </value>
        </values>
      </ddeItem>
      <ddeItem name="WPUF@.413" advise="1">
        <values>
          <value>
            <val>1</val>
          </value>
        </values>
      </ddeItem>
      <ddeItem name="WQFF&amp;.101" advise="1">
        <values>
          <value>
            <val>1900</val>
          </value>
        </values>
      </ddeItem>
      <ddeItem name="WQFF&amp;.102" advise="1">
        <values>
          <value>
            <val>1905</val>
          </value>
        </values>
      </ddeItem>
      <ddeItem name="WQFF&amp;.113" advise="1">
        <values>
          <value>
            <val>55</val>
          </value>
        </values>
      </ddeItem>
      <ddeItem name="WQFF&amp;.114" advise="1">
        <values>
          <value>
            <val>39</val>
          </value>
        </values>
      </ddeItem>
      <ddeItem name="WQFF&amp;.125" advise="1">
        <values>
          <value>
            <val>1900</val>
          </value>
        </values>
      </ddeItem>
      <ddeItem name="WQFF&amp;.129" advise="1">
        <values>
          <value>
            <val>1910</val>
          </value>
        </values>
      </ddeItem>
      <ddeItem name="WQFF&amp;.130" advise="1">
        <values>
          <value>
            <val>1915</val>
          </value>
        </values>
      </ddeItem>
      <ddeItem name="WQFF&amp;.131" advise="1">
        <values>
          <value>
            <val>1860</val>
          </value>
        </values>
      </ddeItem>
      <ddeItem name="WQFF&amp;.143" advise="1">
        <values>
          <value>
            <val>134458</val>
          </value>
        </values>
      </ddeItem>
      <ddeItem name="WQFF&amp;.184" advise="1">
        <values>
          <value>
            <val>-10</val>
          </value>
        </values>
      </ddeItem>
      <ddeItem name="WQFF&amp;.185" advise="1">
        <values>
          <value>
            <val>-0.52356000000000003</val>
          </value>
        </values>
      </ddeItem>
      <ddeItem name="WQFF&amp;.2020" advise="1">
        <values>
          <value t="str">
            <val>小型台積電期貨近一(2603)</val>
          </value>
        </values>
      </ddeItem>
      <ddeItem name="WQFF&amp;.205" advise="1">
        <values>
          <value>
            <val>1910</val>
          </value>
        </values>
      </ddeItem>
      <ddeItem name="WQFF&amp;.404" advise="1">
        <values>
          <value>
            <val>27492</val>
          </value>
        </values>
      </ddeItem>
      <ddeItem name="WQFF&amp;.413" advise="1">
        <values>
          <value>
            <val>1</val>
          </value>
        </values>
      </ddeItem>
      <ddeItem name="WQFF@.101" advise="1">
        <values>
          <value>
            <val>1905</val>
          </value>
        </values>
      </ddeItem>
      <ddeItem name="WQFF@.102" advise="1">
        <values>
          <value>
            <val>1915</val>
          </value>
        </values>
      </ddeItem>
      <ddeItem name="WQFF@.113" advise="1">
        <values>
          <value>
            <val>62</val>
          </value>
        </values>
      </ddeItem>
      <ddeItem name="WQFF@.114" advise="1">
        <values>
          <value>
            <val>58</val>
          </value>
        </values>
      </ddeItem>
      <ddeItem name="WQFF@.125" advise="1">
        <values>
          <value>
            <val>1910</val>
          </value>
        </values>
      </ddeItem>
      <ddeItem name="WQFF@.129" advise="1">
        <values>
          <value>
            <val>1920</val>
          </value>
        </values>
      </ddeItem>
      <ddeItem name="WQFF@.130" advise="1">
        <values>
          <value>
            <val>1925</val>
          </value>
        </values>
      </ddeItem>
      <ddeItem name="WQFF@.131" advise="1">
        <values>
          <value>
            <val>1865</val>
          </value>
        </values>
      </ddeItem>
      <ddeItem name="WQFF@.143" advise="1">
        <values>
          <value>
            <val>134458</val>
          </value>
        </values>
      </ddeItem>
      <ddeItem name="WQFF@.184" advise="1">
        <values>
          <value>
            <val>-10</val>
          </value>
        </values>
      </ddeItem>
      <ddeItem name="WQFF@.185" advise="1">
        <values>
          <value>
            <val>-0.52083299999999999</val>
          </value>
        </values>
      </ddeItem>
      <ddeItem name="WQFF@.2020" advise="1">
        <values>
          <value t="str">
            <val>小型台積電期貨近二(2604)</val>
          </value>
        </values>
      </ddeItem>
      <ddeItem name="WQFF@.205" advise="1">
        <values>
          <value>
            <val>1920</val>
          </value>
        </values>
      </ddeItem>
      <ddeItem name="WQFF@.404" advise="1">
        <values>
          <value>
            <val>3917</val>
          </value>
        </values>
      </ddeItem>
      <ddeItem name="WQFF@.413" advise="1">
        <values>
          <value>
            <val>1</val>
          </value>
        </values>
      </ddeItem>
      <ddeItem name="WRWF&amp;.101" advise="1">
        <values>
          <value>
            <val>2395</val>
          </value>
        </values>
      </ddeItem>
      <ddeItem name="WRWF&amp;.102" advise="1">
        <values>
          <value>
            <val>2400</val>
          </value>
        </values>
      </ddeItem>
      <ddeItem name="WRWF&amp;.113" advise="1">
        <values>
          <value>
            <val>7</val>
          </value>
        </values>
      </ddeItem>
      <ddeItem name="WRWF&amp;.114" advise="1">
        <values>
          <value>
            <val>4</val>
          </value>
        </values>
      </ddeItem>
      <ddeItem name="WRWF&amp;.125" advise="1">
        <values>
          <value>
            <val>2395</val>
          </value>
        </values>
      </ddeItem>
      <ddeItem name="WRWF&amp;.129" advise="1">
        <values>
          <value>
            <val>2360</val>
          </value>
        </values>
      </ddeItem>
      <ddeItem name="WRWF&amp;.130" advise="1">
        <values>
          <value>
            <val>2440</val>
          </value>
        </values>
      </ddeItem>
      <ddeItem name="WRWF&amp;.131" advise="1">
        <values>
          <value>
            <val>2305</val>
          </value>
        </values>
      </ddeItem>
      <ddeItem name="WRWF&amp;.143" advise="1">
        <values>
          <value>
            <val>134457</val>
          </value>
        </values>
      </ddeItem>
      <ddeItem name="WRWF&amp;.184" advise="1">
        <values>
          <value>
            <val>35</val>
          </value>
        </values>
      </ddeItem>
      <ddeItem name="WRWF&amp;.185" advise="1">
        <values>
          <value>
            <val>1.48305</val>
          </value>
        </values>
      </ddeItem>
      <ddeItem name="WRWF&amp;.2020" advise="1">
        <values>
          <value t="str">
            <val>小型創意期貨近一(2603)</val>
          </value>
        </values>
      </ddeItem>
      <ddeItem name="WRWF&amp;.205" advise="1">
        <values>
          <value>
            <val>2360</val>
          </value>
        </values>
      </ddeItem>
      <ddeItem name="WRWF&amp;.404" advise="1">
        <values>
          <value>
            <val>2329</val>
          </value>
        </values>
      </ddeItem>
      <ddeItem name="WRWF&amp;.413" advise="1">
        <values>
          <value>
            <val>5</val>
          </value>
        </values>
      </ddeItem>
      <ddeItem name="WRWF@.101" advise="1">
        <values>
          <value>
            <val>2400</val>
          </value>
        </values>
      </ddeItem>
      <ddeItem name="WRWF@.102" advise="1">
        <values>
          <value>
            <val>2425</val>
          </value>
        </values>
      </ddeItem>
      <ddeItem name="WRWF@.113" advise="1">
        <values>
          <value>
            <val>2</val>
          </value>
        </values>
      </ddeItem>
      <ddeItem name="WRWF@.114" advise="1">
        <values>
          <value>
            <val>1</val>
          </value>
        </values>
      </ddeItem>
      <ddeItem name="WRWF@.125" advise="1">
        <values>
          <value>
            <val>2405</val>
          </value>
        </values>
      </ddeItem>
      <ddeItem name="WRWF@.129" advise="1">
        <values>
          <value>
            <val>2370</val>
          </value>
        </values>
      </ddeItem>
      <ddeItem name="WRWF@.130" advise="1">
        <values>
          <value>
            <val>2445</val>
          </value>
        </values>
      </ddeItem>
      <ddeItem name="WRWF@.131" advise="1">
        <values>
          <value>
            <val>2315</val>
          </value>
        </values>
      </ddeItem>
      <ddeItem name="WRWF@.143" advise="1">
        <values>
          <value>
            <val>134457</val>
          </value>
        </values>
      </ddeItem>
      <ddeItem name="WRWF@.184" advise="1">
        <values>
          <value>
            <val>35</val>
          </value>
        </values>
      </ddeItem>
      <ddeItem name="WRWF@.185" advise="1">
        <values>
          <value>
            <val>1.476793</val>
          </value>
        </values>
      </ddeItem>
      <ddeItem name="WRWF@.2020" advise="1">
        <values>
          <value t="str">
            <val>小型創意期貨近二(2604)</val>
          </value>
        </values>
      </ddeItem>
      <ddeItem name="WRWF@.205" advise="1">
        <values>
          <value>
            <val>2370</val>
          </value>
        </values>
      </ddeItem>
      <ddeItem name="WRWF@.404" advise="1">
        <values>
          <value>
            <val>162</val>
          </value>
        </values>
      </ddeItem>
      <ddeItem name="WRWF@.413" advise="1">
        <values>
          <value>
            <val>1</val>
          </value>
        </values>
      </ddeItem>
      <ddeItem name="WTX&amp;.101" advise="1">
        <values>
          <value>
            <val>33705</val>
          </value>
        </values>
      </ddeItem>
      <ddeItem name="WTX&amp;.102" advise="1">
        <values>
          <value>
            <val>33709</val>
          </value>
        </values>
      </ddeItem>
      <ddeItem name="WTX&amp;.113" advise="1">
        <values>
          <value>
            <val>1</val>
          </value>
        </values>
      </ddeItem>
      <ddeItem name="WTX&amp;.114" advise="1">
        <values>
          <value>
            <val>2</val>
          </value>
        </values>
      </ddeItem>
      <ddeItem name="WTX&amp;.125" advise="1">
        <values>
          <value>
            <val>33704</val>
          </value>
        </values>
      </ddeItem>
      <ddeItem name="WTX&amp;.129" advise="1">
        <values>
          <value>
            <val>33666</val>
          </value>
        </values>
      </ddeItem>
      <ddeItem name="WTX&amp;.130" advise="1">
        <values>
          <value>
            <val>33888</val>
          </value>
        </values>
      </ddeItem>
      <ddeItem name="WTX&amp;.131" advise="1">
        <values>
          <value>
            <val>32820</val>
          </value>
        </values>
      </ddeItem>
      <ddeItem name="WTX&amp;.143" advise="1">
        <values>
          <value>
            <val>134459</val>
          </value>
        </values>
      </ddeItem>
      <ddeItem name="WTX&amp;.184" advise="1">
        <values>
          <value>
            <val>38</val>
          </value>
        </values>
      </ddeItem>
      <ddeItem name="WTX&amp;.185" advise="1">
        <values>
          <value>
            <val>0.112873</val>
          </value>
        </values>
      </ddeItem>
      <ddeItem name="WTX&amp;.2020" advise="1">
        <values>
          <value t="str">
            <val>台指期近一(2603)</val>
          </value>
        </values>
      </ddeItem>
      <ddeItem name="WTX&amp;.205" advise="1">
        <values>
          <value>
            <val>33666</val>
          </value>
        </values>
      </ddeItem>
      <ddeItem name="WTX&amp;.404" advise="1">
        <values>
          <value>
            <val>214672</val>
          </value>
        </values>
      </ddeItem>
      <ddeItem name="WTX&amp;.413" advise="1">
        <values>
          <value>
            <val>1</val>
          </value>
        </values>
      </ddeItem>
      <ddeItem name="WZE&amp;.101" advise="1">
        <values>
          <value>
            <val>2081.0500000000002</val>
          </value>
        </values>
      </ddeItem>
      <ddeItem name="WZE&amp;.102" advise="1">
        <values>
          <value>
            <val>2082.85</val>
          </value>
        </values>
      </ddeItem>
      <ddeItem name="WZE&amp;.113" advise="1">
        <values>
          <value>
            <val>1</val>
          </value>
        </values>
      </ddeItem>
      <ddeItem name="WZE&amp;.114" advise="1">
        <values>
          <value>
            <val>3</val>
          </value>
        </values>
      </ddeItem>
      <ddeItem name="WZE&amp;.125" advise="1">
        <values>
          <value>
            <val>2081.1999999999998</val>
          </value>
        </values>
      </ddeItem>
      <ddeItem name="WZE&amp;.129" advise="1">
        <values>
          <value>
            <val>2087.4</val>
          </value>
        </values>
      </ddeItem>
      <ddeItem name="WZE&amp;.130" advise="1">
        <values>
          <value>
            <val>2094.5500000000002</val>
          </value>
        </values>
      </ddeItem>
      <ddeItem name="WZE&amp;.131" advise="1">
        <values>
          <value>
            <val>2025</val>
          </value>
        </values>
      </ddeItem>
      <ddeItem name="WZE&amp;.143" advise="1">
        <values>
          <value>
            <val>134452</val>
          </value>
        </values>
      </ddeItem>
      <ddeItem name="WZE&amp;.184" advise="1">
        <values>
          <value>
            <val>-6.2</val>
          </value>
        </values>
      </ddeItem>
      <ddeItem name="WZE&amp;.185" advise="1">
        <values>
          <value>
            <val>-0.29702000000000001</val>
          </value>
        </values>
      </ddeItem>
      <ddeItem name="WZE&amp;.2020" advise="1">
        <values>
          <value t="str">
            <val>小型電子近一(2603)</val>
          </value>
        </values>
      </ddeItem>
      <ddeItem name="WZE&amp;.205" advise="1">
        <values>
          <value>
            <val>2087.4</val>
          </value>
        </values>
      </ddeItem>
      <ddeItem name="WZE&amp;.404" advise="1">
        <values>
          <value>
            <val>3349</val>
          </value>
        </values>
      </ddeItem>
      <ddeItem name="WZE&amp;.413" advise="1">
        <values>
          <value>
            <val>2</val>
          </value>
        </values>
      </ddeItem>
    </ddeItems>
  </ddeLink>
</externalLink>
</file>

<file path=xl/externalLinks/externalLink3.xml><?xml version="1.0" encoding="utf-8"?>
<externalLink xmlns="http://schemas.openxmlformats.org/spreadsheetml/2006/main">
  <ddeLink xmlns:r="http://schemas.openxmlformats.org/officeDocument/2006/relationships" ddeService="MMSDDE" ddeTopic="SPFU">
    <ddeItems>
      <ddeItem name="StdDocumentName" ole="1" advise="1"/>
      <ddeItem name="WCDFH6/J6.101" advise="1">
        <values>
          <value>
            <val>8.0500000000000007</val>
          </value>
        </values>
      </ddeItem>
      <ddeItem name="WCDFH6/J6.102" advise="1">
        <values>
          <value>
            <val>8.06</val>
          </value>
        </values>
      </ddeItem>
      <ddeItem name="WCDFH6/J6.113" advise="1">
        <values>
          <value>
            <val>20</val>
          </value>
        </values>
      </ddeItem>
      <ddeItem name="WCDFH6/J6.114" advise="1">
        <values>
          <value>
            <val>17</val>
          </value>
        </values>
      </ddeItem>
      <ddeItem name="WCDFH6/J6.125" advise="1">
        <values>
          <value>
            <val>8.06</val>
          </value>
        </values>
      </ddeItem>
      <ddeItem name="WCDFH6/J6.129" advise="1">
        <values>
          <value>
            <val>10</val>
          </value>
        </values>
      </ddeItem>
      <ddeItem name="WCDFH6/J6.130" advise="1">
        <values>
          <value>
            <val>8.33</val>
          </value>
        </values>
      </ddeItem>
      <ddeItem name="WCDFH6/J6.131" advise="1">
        <values>
          <value>
            <val>8.0500000000000007</val>
          </value>
        </values>
      </ddeItem>
      <ddeItem name="WCDFH6/J6.143" advise="1">
        <values>
          <value>
            <val>134338</val>
          </value>
        </values>
      </ddeItem>
      <ddeItem name="WCDFH6/J6.2020" advise="1">
        <values>
          <value t="str">
            <val>台積電期貨202603/202604</val>
          </value>
        </values>
      </ddeItem>
      <ddeItem name="WCDFH6/J6.205" advise="1">
        <values>
          <value t="str">
            <val>-</val>
          </value>
        </values>
      </ddeItem>
      <ddeItem name="WCDFH6/J6.404" advise="1">
        <values>
          <value>
            <val>1660</val>
          </value>
        </values>
      </ddeItem>
      <ddeItem name="WCDFH6/J6.413" advise="1">
        <values>
          <value>
            <val>2</val>
          </value>
        </values>
      </ddeItem>
      <ddeItem name="WCDFU4/V4.101" advise="1">
        <values>
          <value t="str">
            <val>-</val>
          </value>
        </values>
      </ddeItem>
      <ddeItem name="WCDFU4/V4.102" advise="1">
        <values>
          <value t="str">
            <val>-</val>
          </value>
        </values>
      </ddeItem>
      <ddeItem name="WCDFU4/V4.113" advise="1">
        <values>
          <value t="str">
            <val>-</val>
          </value>
        </values>
      </ddeItem>
      <ddeItem name="WCDFU4/V4.114" advise="1">
        <values>
          <value t="str">
            <val>-</val>
          </value>
        </values>
      </ddeItem>
      <ddeItem name="WCDFU4/V4.125" advise="1">
        <values>
          <value t="str">
            <val>-</val>
          </value>
        </values>
      </ddeItem>
      <ddeItem name="WCDFU4/V4.404" advise="1">
        <values>
          <value t="str">
            <val>-</val>
          </value>
        </values>
      </ddeItem>
      <ddeItem name="WCDFU4/V4.413" advise="1">
        <values>
          <value t="str">
            <val>-</val>
          </value>
        </values>
      </ddeItem>
      <ddeItem name="WDVFH6/J6.101" advise="1">
        <values>
          <value>
            <val>4.6900000000000004</val>
          </value>
        </values>
      </ddeItem>
      <ddeItem name="WDVFH6/J6.102" advise="1">
        <values>
          <value>
            <val>4.7</val>
          </value>
        </values>
      </ddeItem>
      <ddeItem name="WDVFH6/J6.113" advise="1">
        <values>
          <value>
            <val>4</val>
          </value>
        </values>
      </ddeItem>
      <ddeItem name="WDVFH6/J6.114" advise="1">
        <values>
          <value>
            <val>5</val>
          </value>
        </values>
      </ddeItem>
      <ddeItem name="WDVFH6/J6.125" advise="1">
        <values>
          <value>
            <val>4.5999999999999996</val>
          </value>
        </values>
      </ddeItem>
      <ddeItem name="WDVFH6/J6.129" advise="1">
        <values>
          <value>
            <val>0</val>
          </value>
        </values>
      </ddeItem>
      <ddeItem name="WDVFH6/J6.130" advise="1">
        <values>
          <value>
            <val>5.01</val>
          </value>
        </values>
      </ddeItem>
      <ddeItem name="WDVFH6/J6.131" advise="1">
        <values>
          <value>
            <val>3.81</val>
          </value>
        </values>
      </ddeItem>
      <ddeItem name="WDVFH6/J6.143" advise="1">
        <values>
          <value>
            <val>131608</val>
          </value>
        </values>
      </ddeItem>
      <ddeItem name="WDVFH6/J6.2020" advise="1">
        <values>
          <value t="str">
            <val>聯發科期貨202603/202604</val>
          </value>
        </values>
      </ddeItem>
      <ddeItem name="WDVFH6/J6.205" advise="1">
        <values>
          <value t="str">
            <val>-</val>
          </value>
        </values>
      </ddeItem>
      <ddeItem name="WDVFH6/J6.404" advise="1">
        <values>
          <value>
            <val>250</val>
          </value>
        </values>
      </ddeItem>
      <ddeItem name="WDVFH6/J6.413" advise="1">
        <values>
          <value>
            <val>1</val>
          </value>
        </values>
      </ddeItem>
      <ddeItem name="WDVFU4/V4.101" advise="1">
        <values>
          <value t="str">
            <val>-</val>
          </value>
        </values>
      </ddeItem>
      <ddeItem name="WDVFU4/V4.102" advise="1">
        <values>
          <value t="str">
            <val>-</val>
          </value>
        </values>
      </ddeItem>
      <ddeItem name="WDVFU4/V4.113" advise="1">
        <values>
          <value t="str">
            <val>-</val>
          </value>
        </values>
      </ddeItem>
      <ddeItem name="WDVFU4/V4.114" advise="1">
        <values>
          <value t="str">
            <val>-</val>
          </value>
        </values>
      </ddeItem>
      <ddeItem name="WDVFU4/V4.125" advise="1">
        <values>
          <value t="str">
            <val>-</val>
          </value>
        </values>
      </ddeItem>
      <ddeItem name="WDVFU4/V4.404" advise="1">
        <values>
          <value t="str">
            <val>-</val>
          </value>
        </values>
      </ddeItem>
      <ddeItem name="WDVFU4/V4.413" advise="1">
        <values>
          <value t="str">
            <val>-</val>
          </value>
        </values>
      </ddeItem>
      <ddeItem name="WJBFH6/J6.101" advise="1">
        <values>
          <value>
            <val>4.99</val>
          </value>
        </values>
      </ddeItem>
      <ddeItem name="WJBFH6/J6.102" advise="1">
        <values>
          <value>
            <val>5</val>
          </value>
        </values>
      </ddeItem>
      <ddeItem name="WJBFH6/J6.113" advise="1">
        <values>
          <value>
            <val>9</val>
          </value>
        </values>
      </ddeItem>
      <ddeItem name="WJBFH6/J6.114" advise="1">
        <values>
          <value>
            <val>9</val>
          </value>
        </values>
      </ddeItem>
      <ddeItem name="WJBFH6/J6.125" advise="1">
        <values>
          <value>
            <val>5</val>
          </value>
        </values>
      </ddeItem>
      <ddeItem name="WJBFH6/J6.129" advise="1">
        <values>
          <value>
            <val>10</val>
          </value>
        </values>
      </ddeItem>
      <ddeItem name="WJBFH6/J6.130" advise="1">
        <values>
          <value>
            <val>5.01</val>
          </value>
        </values>
      </ddeItem>
      <ddeItem name="WJBFH6/J6.131" advise="1">
        <values>
          <value>
            <val>5</val>
          </value>
        </values>
      </ddeItem>
      <ddeItem name="WJBFH6/J6.143" advise="1">
        <values>
          <value>
            <val>132046</val>
          </value>
        </values>
      </ddeItem>
      <ddeItem name="WJBFH6/J6.2020" advise="1">
        <values>
          <value t="str">
            <val>創意期貨202603/202604</val>
          </value>
        </values>
      </ddeItem>
      <ddeItem name="WJBFH6/J6.205" advise="1">
        <values>
          <value t="str">
            <val>-</val>
          </value>
        </values>
      </ddeItem>
      <ddeItem name="WJBFH6/J6.404" advise="1">
        <values>
          <value>
            <val>19</val>
          </value>
        </values>
      </ddeItem>
      <ddeItem name="WJBFH6/J6.413" advise="1">
        <values>
          <value>
            <val>1</val>
          </value>
        </values>
      </ddeItem>
      <ddeItem name="WJBFU4/V4.101" advise="1">
        <values>
          <value t="str">
            <val>-</val>
          </value>
        </values>
      </ddeItem>
      <ddeItem name="WJBFU4/V4.102" advise="1">
        <values>
          <value t="str">
            <val>-</val>
          </value>
        </values>
      </ddeItem>
      <ddeItem name="WJBFU4/V4.113" advise="1">
        <values>
          <value t="str">
            <val>-</val>
          </value>
        </values>
      </ddeItem>
      <ddeItem name="WJBFU4/V4.114" advise="1">
        <values>
          <value t="str">
            <val>-</val>
          </value>
        </values>
      </ddeItem>
      <ddeItem name="WJBFU4/V4.125" advise="1">
        <values>
          <value t="str">
            <val>-</val>
          </value>
        </values>
      </ddeItem>
      <ddeItem name="WJBFU4/V4.404" advise="1">
        <values>
          <value t="str">
            <val>-</val>
          </value>
        </values>
      </ddeItem>
      <ddeItem name="WJBFU4/V4.413" advise="1">
        <values>
          <value t="str">
            <val>-</val>
          </value>
        </values>
      </ddeItem>
      <ddeItem name="WPUFH6/J6.101" advise="1">
        <values>
          <value>
            <val>4.55</val>
          </value>
        </values>
      </ddeItem>
      <ddeItem name="WPUFH6/J6.102" advise="1">
        <values>
          <value>
            <val>4.5599999999999996</val>
          </value>
        </values>
      </ddeItem>
      <ddeItem name="WPUFH6/J6.113" advise="1">
        <values>
          <value>
            <val>67</val>
          </value>
        </values>
      </ddeItem>
      <ddeItem name="WPUFH6/J6.114" advise="1">
        <values>
          <value>
            <val>40</val>
          </value>
        </values>
      </ddeItem>
      <ddeItem name="WPUFH6/J6.125" advise="1">
        <values>
          <value>
            <val>4.5599999999999996</val>
          </value>
        </values>
      </ddeItem>
      <ddeItem name="WPUFH6/J6.129" advise="1">
        <values>
          <value>
            <val>0</val>
          </value>
        </values>
      </ddeItem>
      <ddeItem name="WPUFH6/J6.130" advise="1">
        <values>
          <value>
            <val>4.5599999999999996</val>
          </value>
        </values>
      </ddeItem>
      <ddeItem name="WPUFH6/J6.131" advise="1">
        <values>
          <value>
            <val>4.3</val>
          </value>
        </values>
      </ddeItem>
      <ddeItem name="WPUFH6/J6.143" advise="1">
        <values>
          <value>
            <val>130115</val>
          </value>
        </values>
      </ddeItem>
      <ddeItem name="WPUFH6/J6.2020" advise="1">
        <values>
          <value t="str">
            <val>小型聯發科期貨202603/202604</val>
          </value>
        </values>
      </ddeItem>
      <ddeItem name="WPUFH6/J6.205" advise="1">
        <values>
          <value t="str">
            <val>-</val>
          </value>
        </values>
      </ddeItem>
      <ddeItem name="WPUFH6/J6.404" advise="1">
        <values>
          <value>
            <val>170</val>
          </value>
        </values>
      </ddeItem>
      <ddeItem name="WPUFH6/J6.413" advise="1">
        <values>
          <value>
            <val>1</val>
          </value>
        </values>
      </ddeItem>
      <ddeItem name="WPUFU4/V4.101" advise="1">
        <values>
          <value t="str">
            <val>-</val>
          </value>
        </values>
      </ddeItem>
      <ddeItem name="WPUFU4/V4.102" advise="1">
        <values>
          <value t="str">
            <val>-</val>
          </value>
        </values>
      </ddeItem>
      <ddeItem name="WPUFU4/V4.113" advise="1">
        <values>
          <value t="str">
            <val>-</val>
          </value>
        </values>
      </ddeItem>
      <ddeItem name="WPUFU4/V4.114" advise="1">
        <values>
          <value t="str">
            <val>-</val>
          </value>
        </values>
      </ddeItem>
      <ddeItem name="WPUFU4/V4.125" advise="1">
        <values>
          <value t="str">
            <val>-</val>
          </value>
        </values>
      </ddeItem>
      <ddeItem name="WPUFU4/V4.404" advise="1">
        <values>
          <value t="str">
            <val>-</val>
          </value>
        </values>
      </ddeItem>
      <ddeItem name="WPUFU4/V4.413" advise="1">
        <values>
          <value t="str">
            <val>-</val>
          </value>
        </values>
      </ddeItem>
      <ddeItem name="WQFFH6/J6.101" advise="1">
        <values>
          <value>
            <val>8.1</val>
          </value>
        </values>
      </ddeItem>
      <ddeItem name="WQFFH6/J6.102" advise="1">
        <values>
          <value>
            <val>8.11</val>
          </value>
        </values>
      </ddeItem>
      <ddeItem name="WQFFH6/J6.113" advise="1">
        <values>
          <value>
            <val>256</val>
          </value>
        </values>
      </ddeItem>
      <ddeItem name="WQFFH6/J6.114" advise="1">
        <values>
          <value>
            <val>371</val>
          </value>
        </values>
      </ddeItem>
      <ddeItem name="WQFFH6/J6.125" advise="1">
        <values>
          <value>
            <val>8.1</val>
          </value>
        </values>
      </ddeItem>
      <ddeItem name="WQFFH6/J6.129" advise="1">
        <values>
          <value>
            <val>10</val>
          </value>
        </values>
      </ddeItem>
      <ddeItem name="WQFFH6/J6.130" advise="1">
        <values>
          <value>
            <val>8.31</val>
          </value>
        </values>
      </ddeItem>
      <ddeItem name="WQFFH6/J6.131" advise="1">
        <values>
          <value>
            <val>8.1</val>
          </value>
        </values>
      </ddeItem>
      <ddeItem name="WQFFH6/J6.143" advise="1">
        <values>
          <value>
            <val>134107</val>
          </value>
        </values>
      </ddeItem>
      <ddeItem name="WQFFH6/J6.2020" advise="1">
        <values>
          <value t="str">
            <val>小型台積電期貨202603/202604</val>
          </value>
        </values>
      </ddeItem>
      <ddeItem name="WQFFH6/J6.205" advise="1">
        <values>
          <value t="str">
            <val>-</val>
          </value>
        </values>
      </ddeItem>
      <ddeItem name="WQFFH6/J6.404" advise="1">
        <values>
          <value>
            <val>1008</val>
          </value>
        </values>
      </ddeItem>
      <ddeItem name="WQFFH6/J6.413" advise="1">
        <values>
          <value>
            <val>5</val>
          </value>
        </values>
      </ddeItem>
      <ddeItem name="WQFFU4/V4.101" advise="1">
        <values>
          <value t="str">
            <val>-</val>
          </value>
        </values>
      </ddeItem>
      <ddeItem name="WQFFU4/V4.102" advise="1">
        <values>
          <value t="str">
            <val>-</val>
          </value>
        </values>
      </ddeItem>
      <ddeItem name="WQFFU4/V4.113" advise="1">
        <values>
          <value t="str">
            <val>-</val>
          </value>
        </values>
      </ddeItem>
      <ddeItem name="WQFFU4/V4.114" advise="1">
        <values>
          <value t="str">
            <val>-</val>
          </value>
        </values>
      </ddeItem>
      <ddeItem name="WQFFU4/V4.125" advise="1">
        <values>
          <value t="str">
            <val>-</val>
          </value>
        </values>
      </ddeItem>
      <ddeItem name="WQFFU4/V4.404" advise="1">
        <values>
          <value t="str">
            <val>-</val>
          </value>
        </values>
      </ddeItem>
      <ddeItem name="WQFFU4/V4.413" advise="1">
        <values>
          <value t="str">
            <val>-</val>
          </value>
        </values>
      </ddeItem>
      <ddeItem name="WRWFH6/J6.101" advise="1">
        <values>
          <value>
            <val>5</val>
          </value>
        </values>
      </ddeItem>
      <ddeItem name="WRWFH6/J6.102" advise="1">
        <values>
          <value>
            <val>5.01</val>
          </value>
        </values>
      </ddeItem>
      <ddeItem name="WRWFH6/J6.113" advise="1">
        <values>
          <value>
            <val>7</val>
          </value>
        </values>
      </ddeItem>
      <ddeItem name="WRWFH6/J6.114" advise="1">
        <values>
          <value>
            <val>139</val>
          </value>
        </values>
      </ddeItem>
      <ddeItem name="WRWFH6/J6.125" advise="1">
        <values>
          <value>
            <val>5.01</val>
          </value>
        </values>
      </ddeItem>
      <ddeItem name="WRWFH6/J6.129" advise="1">
        <values>
          <value>
            <val>10</val>
          </value>
        </values>
      </ddeItem>
      <ddeItem name="WRWFH6/J6.130" advise="1">
        <values>
          <value>
            <val>5.01</val>
          </value>
        </values>
      </ddeItem>
      <ddeItem name="WRWFH6/J6.131" advise="1">
        <values>
          <value>
            <val>4.99</val>
          </value>
        </values>
      </ddeItem>
      <ddeItem name="WRWFH6/J6.143" advise="1">
        <values>
          <value>
            <val>131852</val>
          </value>
        </values>
      </ddeItem>
      <ddeItem name="WRWFH6/J6.2020" advise="1">
        <values>
          <value t="str">
            <val>小型創意期貨202603/202604</val>
          </value>
        </values>
      </ddeItem>
      <ddeItem name="WRWFH6/J6.205" advise="1">
        <values>
          <value t="str">
            <val>-</val>
          </value>
        </values>
      </ddeItem>
      <ddeItem name="WRWFH6/J6.404" advise="1">
        <values>
          <value>
            <val>32</val>
          </value>
        </values>
      </ddeItem>
      <ddeItem name="WRWFH6/J6.413" advise="1">
        <values>
          <value>
            <val>2</val>
          </value>
        </values>
      </ddeItem>
      <ddeItem name="WRWFU4/V4.101" advise="1">
        <values>
          <value t="str">
            <val>-</val>
          </value>
        </values>
      </ddeItem>
      <ddeItem name="WRWFU4/V4.102" advise="1">
        <values>
          <value t="str">
            <val>-</val>
          </value>
        </values>
      </ddeItem>
      <ddeItem name="WRWFU4/V4.113" advise="1">
        <values>
          <value t="str">
            <val>-</val>
          </value>
        </values>
      </ddeItem>
      <ddeItem name="WRWFU4/V4.114" advise="1">
        <values>
          <value t="str">
            <val>-</val>
          </value>
        </values>
      </ddeItem>
      <ddeItem name="WRWFU4/V4.125" advise="1">
        <values>
          <value t="str">
            <val>-</val>
          </value>
        </values>
      </ddeItem>
      <ddeItem name="WRWFU4/V4.404" advise="1">
        <values>
          <value t="str">
            <val>-</val>
          </value>
        </values>
      </ddeItem>
      <ddeItem name="WRWFU4/V4.413" advise="1">
        <values>
          <value t="str">
            <val>-</val>
          </value>
        </values>
      </ddeItem>
    </ddeItems>
  </ddeLin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NtoC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BK127"/>
  <sheetViews>
    <sheetView tabSelected="1" zoomScale="115" zoomScaleNormal="115" workbookViewId="0">
      <selection activeCell="H13" sqref="H13"/>
    </sheetView>
  </sheetViews>
  <sheetFormatPr defaultRowHeight="16.5"/>
  <cols>
    <col min="1" max="1" width="2.75" customWidth="1"/>
    <col min="2" max="2" width="21.875" customWidth="1"/>
    <col min="4" max="4" width="7.75" customWidth="1"/>
    <col min="5" max="6" width="8.125" customWidth="1"/>
    <col min="9" max="9" width="8.125" customWidth="1"/>
    <col min="10" max="11" width="7.625" customWidth="1"/>
    <col min="18" max="18" width="9.125" bestFit="1" customWidth="1"/>
    <col min="19" max="19" width="9.5" bestFit="1" customWidth="1"/>
  </cols>
  <sheetData>
    <row r="1" spans="1:63">
      <c r="A1" s="199" t="s">
        <v>2719</v>
      </c>
      <c r="B1" s="1"/>
      <c r="C1" s="210" t="s">
        <v>2738</v>
      </c>
      <c r="D1" s="211"/>
      <c r="E1" s="211"/>
      <c r="F1" s="212"/>
      <c r="G1" s="1">
        <f>MAX(P25,結算估價!C3)</f>
        <v>134459</v>
      </c>
      <c r="H1" s="1"/>
      <c r="I1" s="1">
        <f>P3</f>
        <v>133000</v>
      </c>
      <c r="J1" s="1">
        <f>P15</f>
        <v>134101</v>
      </c>
      <c r="K1" s="1">
        <f>P12</f>
        <v>134459</v>
      </c>
      <c r="L1" s="1"/>
      <c r="M1" s="1"/>
      <c r="N1" s="1"/>
      <c r="O1" s="1"/>
      <c r="P1" s="204" t="s">
        <v>2722</v>
      </c>
      <c r="U1" t="s">
        <v>2715</v>
      </c>
      <c r="V1" t="s">
        <v>2716</v>
      </c>
      <c r="W1">
        <v>3</v>
      </c>
      <c r="BK1">
        <v>3</v>
      </c>
    </row>
    <row r="2" spans="1:63" ht="17.25" thickBot="1">
      <c r="A2" s="67">
        <f>COUNTIF(A3:A60,"錄")</f>
        <v>9</v>
      </c>
      <c r="B2" s="2" t="s">
        <v>0</v>
      </c>
      <c r="C2" s="3" t="s">
        <v>1</v>
      </c>
      <c r="D2" s="3" t="s">
        <v>2</v>
      </c>
      <c r="E2" s="4" t="s">
        <v>3</v>
      </c>
      <c r="F2" s="5" t="s">
        <v>4</v>
      </c>
      <c r="G2" s="6" t="s">
        <v>5</v>
      </c>
      <c r="H2" s="7" t="s">
        <v>6</v>
      </c>
      <c r="I2" s="8" t="s">
        <v>7</v>
      </c>
      <c r="J2" s="9" t="s">
        <v>8</v>
      </c>
      <c r="K2" s="10" t="s">
        <v>9</v>
      </c>
      <c r="L2" s="11" t="s">
        <v>10</v>
      </c>
      <c r="M2" s="11" t="s">
        <v>11</v>
      </c>
      <c r="N2" s="11" t="s">
        <v>12</v>
      </c>
      <c r="O2" s="12" t="s">
        <v>13</v>
      </c>
      <c r="P2" s="13" t="s">
        <v>14</v>
      </c>
      <c r="R2" s="213" t="s">
        <v>2712</v>
      </c>
      <c r="S2" s="213"/>
      <c r="T2" s="213"/>
      <c r="BB2" s="15"/>
      <c r="BC2" s="15"/>
      <c r="BD2" s="15"/>
      <c r="BE2" s="15"/>
      <c r="BF2" s="15"/>
      <c r="BG2" s="15"/>
      <c r="BH2" s="15"/>
    </row>
    <row r="3" spans="1:63" ht="18" thickTop="1" thickBot="1">
      <c r="A3" s="200" t="s">
        <v>2669</v>
      </c>
      <c r="B3" s="133" t="str" cm="1">
        <f t="array" ref="B3">[1]!'3443.2020'</f>
        <v>創意</v>
      </c>
      <c r="C3" s="141">
        <f>IF(ISNUMBER(C103),C103,0)</f>
        <v>2385</v>
      </c>
      <c r="D3" s="141" cm="1">
        <f t="array" ref="D3">[1]!'3443.184'</f>
        <v>30</v>
      </c>
      <c r="E3" s="142" cm="1">
        <f t="array" ref="E3">[1]!'3443.185'*0.01</f>
        <v>1.2738849999999999E-2</v>
      </c>
      <c r="F3" s="143">
        <f t="shared" ref="F3:K5" si="0">IF(ISNUMBER(F103),F103,0)</f>
        <v>4</v>
      </c>
      <c r="G3" s="144">
        <f t="shared" si="0"/>
        <v>2385</v>
      </c>
      <c r="H3" s="145">
        <f t="shared" si="0"/>
        <v>2390</v>
      </c>
      <c r="I3" s="146">
        <f t="shared" si="0"/>
        <v>10</v>
      </c>
      <c r="J3" s="141">
        <f t="shared" si="0"/>
        <v>79</v>
      </c>
      <c r="K3" s="141">
        <f t="shared" si="0"/>
        <v>1913</v>
      </c>
      <c r="L3" s="141" cm="1">
        <f t="array" ref="L3">[1]!'3443.130'</f>
        <v>2435</v>
      </c>
      <c r="M3" s="141" cm="1">
        <f t="array" ref="M3">[1]!'3443.131'</f>
        <v>2295</v>
      </c>
      <c r="N3" s="141" cm="1">
        <f t="array" ref="N3">[1]!'3443.129'</f>
        <v>2355</v>
      </c>
      <c r="O3" s="141"/>
      <c r="P3" s="180" cm="1">
        <f t="array" ref="P3">[1]!'3443.143'</f>
        <v>133000</v>
      </c>
      <c r="Q3" s="61"/>
      <c r="R3" s="196" t="s">
        <v>2713</v>
      </c>
      <c r="S3">
        <f>結算估價!C3</f>
        <v>133100</v>
      </c>
      <c r="U3" t="s">
        <v>2718</v>
      </c>
      <c r="V3" t="s">
        <v>2717</v>
      </c>
      <c r="BB3" s="15"/>
      <c r="BC3" s="15"/>
      <c r="BD3" s="15"/>
      <c r="BE3" s="15"/>
      <c r="BF3" s="15"/>
      <c r="BG3" s="15"/>
      <c r="BH3" s="15"/>
    </row>
    <row r="4" spans="1:63" ht="17.25" thickTop="1">
      <c r="A4" s="201" t="s">
        <v>2669</v>
      </c>
      <c r="B4" s="72" t="str" cm="1">
        <f t="array" ref="B4">[2]!'WRWF&amp;.2020'</f>
        <v>小型創意期貨近一(2603)</v>
      </c>
      <c r="C4" s="96">
        <f>IF(ISNUMBER(C104),C104,0)</f>
        <v>2395</v>
      </c>
      <c r="D4" s="96" cm="1">
        <f t="array" ref="D4">[2]!'WRWF&amp;.184'</f>
        <v>35</v>
      </c>
      <c r="E4" s="97" cm="1">
        <f t="array" ref="E4">[2]!'WRWF&amp;.185'*0.01</f>
        <v>1.48305E-2</v>
      </c>
      <c r="F4" s="98">
        <f t="shared" si="0"/>
        <v>7</v>
      </c>
      <c r="G4" s="99">
        <f t="shared" si="0"/>
        <v>2395</v>
      </c>
      <c r="H4" s="100">
        <f t="shared" si="0"/>
        <v>2400</v>
      </c>
      <c r="I4" s="101">
        <f t="shared" si="0"/>
        <v>4</v>
      </c>
      <c r="J4" s="96">
        <f t="shared" si="0"/>
        <v>5</v>
      </c>
      <c r="K4" s="96">
        <f t="shared" si="0"/>
        <v>2329</v>
      </c>
      <c r="L4" s="96" cm="1">
        <f t="array" ref="L4">[2]!'WRWF&amp;.130'</f>
        <v>2440</v>
      </c>
      <c r="M4" s="96" cm="1">
        <f t="array" ref="M4">[2]!'WRWF&amp;.131'</f>
        <v>2305</v>
      </c>
      <c r="N4" s="96" cm="1">
        <f t="array" ref="N4">[2]!'WRWF&amp;.129'</f>
        <v>2360</v>
      </c>
      <c r="O4" s="96" cm="1">
        <f t="array" ref="O4">[2]!'WRWF&amp;.205'</f>
        <v>2360</v>
      </c>
      <c r="P4" s="181" cm="1">
        <f t="array" ref="P4">[2]!'WRWF&amp;.143'</f>
        <v>134457</v>
      </c>
      <c r="Q4" s="64"/>
      <c r="R4" s="197" t="s">
        <v>2714</v>
      </c>
      <c r="S4" s="179">
        <v>0.99848714069591527</v>
      </c>
      <c r="BB4" s="15"/>
      <c r="BC4" s="15"/>
      <c r="BD4" s="15"/>
      <c r="BE4" s="15"/>
      <c r="BF4" s="15"/>
      <c r="BG4" s="15"/>
      <c r="BH4" s="15"/>
    </row>
    <row r="5" spans="1:63">
      <c r="A5" s="201"/>
      <c r="B5" s="80" t="str" cm="1">
        <f t="array" ref="B5">[2]!'WRWF@.2020'</f>
        <v>小型創意期貨近二(2604)</v>
      </c>
      <c r="C5" s="52">
        <f>IF(ISNUMBER(C105),C105,0)</f>
        <v>2405</v>
      </c>
      <c r="D5" s="52" cm="1">
        <f t="array" ref="D5">[2]!'WRWF@.184'</f>
        <v>35</v>
      </c>
      <c r="E5" s="91" cm="1">
        <f t="array" ref="E5">[2]!'WRWF@.185'*0.01</f>
        <v>1.476793E-2</v>
      </c>
      <c r="F5" s="102">
        <f t="shared" si="0"/>
        <v>2</v>
      </c>
      <c r="G5" s="103">
        <f t="shared" si="0"/>
        <v>2400</v>
      </c>
      <c r="H5" s="94">
        <f t="shared" si="0"/>
        <v>2425</v>
      </c>
      <c r="I5" s="105">
        <f t="shared" si="0"/>
        <v>1</v>
      </c>
      <c r="J5" s="52">
        <f t="shared" si="0"/>
        <v>1</v>
      </c>
      <c r="K5" s="52">
        <f t="shared" si="0"/>
        <v>162</v>
      </c>
      <c r="L5" s="52" cm="1">
        <f t="array" ref="L5">[2]!'WRWF@.130'</f>
        <v>2445</v>
      </c>
      <c r="M5" s="52" cm="1">
        <f t="array" ref="M5">[2]!'WRWF@.131'</f>
        <v>2315</v>
      </c>
      <c r="N5" s="52" cm="1">
        <f t="array" ref="N5">[2]!'WRWF@.129'</f>
        <v>2370</v>
      </c>
      <c r="O5" s="52" cm="1">
        <f t="array" ref="O5">[2]!'WRWF@.205'</f>
        <v>2370</v>
      </c>
      <c r="P5" s="182" cm="1">
        <f t="array" ref="P5">[2]!'WRWF@.143'</f>
        <v>134457</v>
      </c>
      <c r="Q5" s="15" t="s">
        <v>2685</v>
      </c>
      <c r="R5" s="185" t="s">
        <v>2670</v>
      </c>
      <c r="S5" s="186" t="s">
        <v>2694</v>
      </c>
      <c r="T5" s="15" t="s">
        <v>2695</v>
      </c>
      <c r="U5" s="187" t="s">
        <v>2699</v>
      </c>
    </row>
    <row r="6" spans="1:63">
      <c r="A6" s="201"/>
      <c r="B6" s="81" t="str">
        <f>[3]!'WRWFH6/J6.2020'</f>
        <v>小型創意期貨202603/202604</v>
      </c>
      <c r="C6" s="206">
        <f>[3]!'WRWFH6/J6.125'</f>
        <v>5.01</v>
      </c>
      <c r="D6" s="106"/>
      <c r="E6" s="107"/>
      <c r="F6" s="108">
        <f>[3]!'WRWFH6/J6.113'</f>
        <v>7</v>
      </c>
      <c r="G6" s="109">
        <f>[3]!'WRWFH6/J6.101'</f>
        <v>5</v>
      </c>
      <c r="H6" s="110">
        <f>[3]!'WRWFH6/J6.102'</f>
        <v>5.01</v>
      </c>
      <c r="I6" s="111">
        <f>[3]!'WRWFH6/J6.114'</f>
        <v>139</v>
      </c>
      <c r="J6" s="106">
        <f>[3]!'WRWFH6/J6.413'</f>
        <v>2</v>
      </c>
      <c r="K6" s="106">
        <f>[3]!'WRWFH6/J6.404'</f>
        <v>32</v>
      </c>
      <c r="L6" s="106">
        <f>[3]!'WRWFH6/J6.130'</f>
        <v>5.01</v>
      </c>
      <c r="M6" s="106">
        <f>[3]!'WRWFH6/J6.131'</f>
        <v>4.99</v>
      </c>
      <c r="N6" s="106">
        <f>[3]!'WRWFH6/J6.129'</f>
        <v>10</v>
      </c>
      <c r="O6" s="106" t="str">
        <f>[3]!'WRWFH6/J6.205'</f>
        <v>-</v>
      </c>
      <c r="P6" s="183">
        <f>[3]!'WRWFH6/J6.143'</f>
        <v>131852</v>
      </c>
      <c r="Q6" s="15" t="s">
        <v>2723</v>
      </c>
      <c r="R6" s="15">
        <v>2365</v>
      </c>
      <c r="S6" s="15">
        <v>1795</v>
      </c>
      <c r="T6" s="15">
        <v>2355</v>
      </c>
      <c r="U6" s="15">
        <v>1900</v>
      </c>
    </row>
    <row r="7" spans="1:63">
      <c r="A7" s="201" t="s">
        <v>2669</v>
      </c>
      <c r="B7" s="72" t="str" cm="1">
        <f t="array" ref="B7">[2]!'WJBF&amp;.2020'</f>
        <v>創意期貨近一(2603)</v>
      </c>
      <c r="C7" s="96">
        <f>IF(ISNUMBER(C107),C107,0)</f>
        <v>2390</v>
      </c>
      <c r="D7" s="96" cm="1">
        <f t="array" ref="D7">[2]!'WJBF&amp;.184'</f>
        <v>30</v>
      </c>
      <c r="E7" s="97" cm="1">
        <f t="array" ref="E7">[2]!'WJBF&amp;.185'*0.01</f>
        <v>1.271186E-2</v>
      </c>
      <c r="F7" s="98">
        <f t="shared" ref="F7:K8" si="1">IF(ISNUMBER(F107),F107,0)</f>
        <v>1</v>
      </c>
      <c r="G7" s="99">
        <f t="shared" si="1"/>
        <v>2385</v>
      </c>
      <c r="H7" s="100">
        <f t="shared" si="1"/>
        <v>2400</v>
      </c>
      <c r="I7" s="101">
        <f t="shared" si="1"/>
        <v>1</v>
      </c>
      <c r="J7" s="96">
        <f t="shared" si="1"/>
        <v>2</v>
      </c>
      <c r="K7" s="96">
        <f t="shared" si="1"/>
        <v>129</v>
      </c>
      <c r="L7" s="96" cm="1">
        <f t="array" ref="L7">[2]!'WJBF&amp;.130'</f>
        <v>2430</v>
      </c>
      <c r="M7" s="96" cm="1">
        <f t="array" ref="M7">[2]!'WJBF&amp;.131'</f>
        <v>2310</v>
      </c>
      <c r="N7" s="96" cm="1">
        <f t="array" ref="N7">[2]!'WJBF&amp;.129'</f>
        <v>2360</v>
      </c>
      <c r="O7" s="96" cm="1">
        <f t="array" ref="O7">[2]!'WJBF&amp;.205'</f>
        <v>2360</v>
      </c>
      <c r="P7" s="181" cm="1">
        <f t="array" ref="P7">[2]!'WJBF&amp;.143'</f>
        <v>132218</v>
      </c>
      <c r="Q7" s="15" t="s">
        <v>2724</v>
      </c>
      <c r="R7" s="15">
        <v>2370</v>
      </c>
      <c r="S7" s="15">
        <v>1805</v>
      </c>
      <c r="T7" s="15">
        <v>2365</v>
      </c>
      <c r="U7" s="15">
        <v>1910</v>
      </c>
    </row>
    <row r="8" spans="1:63">
      <c r="A8" s="201"/>
      <c r="B8" s="80" t="str" cm="1">
        <f t="array" ref="B8">[2]!'WJBF@.2020'</f>
        <v>創意期貨近二(2604)</v>
      </c>
      <c r="C8" s="52">
        <f>IF(ISNUMBER(C108),C108,0)</f>
        <v>2385</v>
      </c>
      <c r="D8" s="52" cm="1">
        <f t="array" ref="D8">[2]!'WJBF@.184'</f>
        <v>15</v>
      </c>
      <c r="E8" s="91" cm="1">
        <f t="array" ref="E8">[2]!'WJBF@.185'*0.01</f>
        <v>6.3291099999999998E-3</v>
      </c>
      <c r="F8" s="102">
        <f t="shared" si="1"/>
        <v>1</v>
      </c>
      <c r="G8" s="103">
        <f t="shared" si="1"/>
        <v>2380</v>
      </c>
      <c r="H8" s="104">
        <f t="shared" si="1"/>
        <v>2415</v>
      </c>
      <c r="I8" s="105">
        <f t="shared" si="1"/>
        <v>1</v>
      </c>
      <c r="J8" s="52">
        <f t="shared" si="1"/>
        <v>1</v>
      </c>
      <c r="K8" s="52">
        <f t="shared" si="1"/>
        <v>1</v>
      </c>
      <c r="L8" s="52" cm="1">
        <f t="array" ref="L8">[2]!'WJBF@.130'</f>
        <v>2385</v>
      </c>
      <c r="M8" s="52" cm="1">
        <f t="array" ref="M8">[2]!'WJBF@.131'</f>
        <v>2385</v>
      </c>
      <c r="N8" s="52" cm="1">
        <f t="array" ref="N8">[2]!'WJBF@.129'</f>
        <v>2370</v>
      </c>
      <c r="O8" s="52" cm="1">
        <f t="array" ref="O8">[2]!'WJBF@.205'</f>
        <v>2370</v>
      </c>
      <c r="P8" s="182" cm="1">
        <f t="array" ref="P8">[2]!'WJBF@.143'</f>
        <v>120811</v>
      </c>
      <c r="Q8" s="15" t="s">
        <v>2725</v>
      </c>
      <c r="R8" s="15">
        <v>2375</v>
      </c>
      <c r="S8" s="15">
        <v>1810</v>
      </c>
      <c r="T8" s="15">
        <v>2370</v>
      </c>
      <c r="U8" s="15">
        <v>1915</v>
      </c>
    </row>
    <row r="9" spans="1:63" ht="17.25" thickBot="1">
      <c r="A9" s="201"/>
      <c r="B9" s="132" t="str">
        <f>[3]!'WJBFH6/J6.2020'</f>
        <v>創意期貨202603/202604</v>
      </c>
      <c r="C9" s="207">
        <f>[3]!'WJBFH6/J6.125'</f>
        <v>5</v>
      </c>
      <c r="D9" s="52"/>
      <c r="E9" s="91"/>
      <c r="F9" s="92">
        <f>[3]!'WJBFH6/J6.113'</f>
        <v>9</v>
      </c>
      <c r="G9" s="93">
        <f>[3]!'WJBFH6/J6.101'</f>
        <v>4.99</v>
      </c>
      <c r="H9" s="94">
        <f>[3]!'WJBFH6/J6.102'</f>
        <v>5</v>
      </c>
      <c r="I9" s="95">
        <f>[3]!'WJBFH6/J6.114'</f>
        <v>9</v>
      </c>
      <c r="J9" s="52">
        <f>[3]!'WJBFH6/J6.413'</f>
        <v>1</v>
      </c>
      <c r="K9" s="52">
        <f>[3]!'WJBFH6/J6.404'</f>
        <v>19</v>
      </c>
      <c r="L9" s="52">
        <f>[3]!'WJBFH6/J6.130'</f>
        <v>5.01</v>
      </c>
      <c r="M9" s="52">
        <f>[3]!'WJBFH6/J6.131'</f>
        <v>5</v>
      </c>
      <c r="N9" s="52">
        <f>[3]!'WJBFH6/J6.129'</f>
        <v>10</v>
      </c>
      <c r="O9" s="52" t="str">
        <f>[3]!'WJBFH6/J6.205'</f>
        <v>-</v>
      </c>
      <c r="P9" s="182">
        <f>[3]!'WJBFH6/J6.143'</f>
        <v>132046</v>
      </c>
      <c r="Q9" s="15" t="s">
        <v>2726</v>
      </c>
      <c r="R9" s="188">
        <v>2374.151515151515</v>
      </c>
      <c r="S9" s="189">
        <v>1805.2272727272727</v>
      </c>
      <c r="T9" s="191">
        <v>2366.128787878788</v>
      </c>
      <c r="U9" s="190">
        <v>1914.8333333333333</v>
      </c>
    </row>
    <row r="10" spans="1:63" ht="18" thickTop="1" thickBot="1">
      <c r="A10" s="201"/>
      <c r="B10" s="133" t="str" cm="1">
        <f t="array" ref="B10">[1]!'3661.2020'</f>
        <v>世芯-KY</v>
      </c>
      <c r="C10" s="134">
        <f>IF(ISNUMBER(C110),C110,0)</f>
        <v>3310</v>
      </c>
      <c r="D10" s="134" cm="1">
        <f t="array" ref="D10">[1]!'3661.184'</f>
        <v>40</v>
      </c>
      <c r="E10" s="135" cm="1">
        <f t="array" ref="E10">[1]!'3661.185'*0.01</f>
        <v>1.2232410000000001E-2</v>
      </c>
      <c r="F10" s="136">
        <f t="shared" ref="F10:K13" si="2">IF(ISNUMBER(F110),F110,0)</f>
        <v>1</v>
      </c>
      <c r="G10" s="137">
        <f t="shared" si="2"/>
        <v>3305</v>
      </c>
      <c r="H10" s="138">
        <f t="shared" si="2"/>
        <v>3310</v>
      </c>
      <c r="I10" s="139">
        <f t="shared" si="2"/>
        <v>14</v>
      </c>
      <c r="J10" s="134">
        <f t="shared" si="2"/>
        <v>87</v>
      </c>
      <c r="K10" s="134">
        <f t="shared" si="2"/>
        <v>1073</v>
      </c>
      <c r="L10" s="134" cm="1">
        <f t="array" ref="L10">[1]!'3661.130'</f>
        <v>3355</v>
      </c>
      <c r="M10" s="134" cm="1">
        <f t="array" ref="M10">[1]!'3661.131'</f>
        <v>3225</v>
      </c>
      <c r="N10" s="134" cm="1">
        <f t="array" ref="N10">[1]!'3661.129'</f>
        <v>3270</v>
      </c>
      <c r="O10" s="134"/>
      <c r="P10" s="180" cm="1">
        <f t="array" ref="P10">[1]!'3661.143'</f>
        <v>133000</v>
      </c>
      <c r="Q10" s="184" t="s">
        <v>2709</v>
      </c>
      <c r="R10" s="192">
        <f>R$9*$S$4+$H3*(1-$S$4)</f>
        <v>2374.1754916792738</v>
      </c>
      <c r="S10" s="193">
        <f>S$9*$S$4+$H11*(1-$S$4)</f>
        <v>1805.1664145234495</v>
      </c>
      <c r="T10" s="194"/>
      <c r="U10" s="195">
        <f>U$9*$S$4+$H18*(1-$S$4)</f>
        <v>1914.7957639939484</v>
      </c>
    </row>
    <row r="11" spans="1:63" ht="18" thickTop="1" thickBot="1">
      <c r="A11" s="201" t="s">
        <v>2669</v>
      </c>
      <c r="B11" s="133" t="str" cm="1">
        <f t="array" ref="B11">[1]!'2454.2020'</f>
        <v>聯發科</v>
      </c>
      <c r="C11" s="149">
        <f>IF(ISNUMBER(C111),C111,0)</f>
        <v>1765</v>
      </c>
      <c r="D11" s="149" cm="1">
        <f t="array" ref="D11">[1]!'2454.184'</f>
        <v>-10</v>
      </c>
      <c r="E11" s="150" cm="1">
        <f t="array" ref="E11">[1]!'2454.185'*0.01</f>
        <v>-5.6338000000000004E-3</v>
      </c>
      <c r="F11" s="151">
        <f t="shared" si="2"/>
        <v>94</v>
      </c>
      <c r="G11" s="152">
        <f t="shared" si="2"/>
        <v>1760</v>
      </c>
      <c r="H11" s="153">
        <f t="shared" si="2"/>
        <v>1765</v>
      </c>
      <c r="I11" s="154">
        <f t="shared" si="2"/>
        <v>15</v>
      </c>
      <c r="J11" s="149">
        <f>IF(ISNUMBER(J111),J111,0)</f>
        <v>398</v>
      </c>
      <c r="K11" s="149">
        <f t="shared" si="2"/>
        <v>4411</v>
      </c>
      <c r="L11" s="149" cm="1">
        <f t="array" ref="L11">[1]!'2454.130'</f>
        <v>1790</v>
      </c>
      <c r="M11" s="149" cm="1">
        <f t="array" ref="M11">[1]!'2454.131'</f>
        <v>1735</v>
      </c>
      <c r="N11" s="149" cm="1">
        <f t="array" ref="N11">[1]!'2454.129'</f>
        <v>1775</v>
      </c>
      <c r="O11" s="149"/>
      <c r="P11" s="180" cm="1">
        <f t="array" ref="P11">[1]!'2454.143'</f>
        <v>133000</v>
      </c>
      <c r="Q11" s="184" t="s">
        <v>2710</v>
      </c>
      <c r="R11" s="192">
        <f>R$9*$S$4+$G3*(1-$S$4)</f>
        <v>2374.1679273827531</v>
      </c>
      <c r="S11" s="193">
        <f>S$9*$S$4+$G11*(1-$S$4)</f>
        <v>1805.158850226929</v>
      </c>
      <c r="T11" s="194"/>
      <c r="U11" s="195">
        <f>U$9*$S$4+$G18*(1-$S$4)</f>
        <v>1914.7881996974279</v>
      </c>
    </row>
    <row r="12" spans="1:63" ht="17.25" thickTop="1">
      <c r="A12" s="201" t="s">
        <v>2669</v>
      </c>
      <c r="B12" s="89" t="str" cm="1">
        <f t="array" ref="B12">[2]!'WPUF&amp;.2020'</f>
        <v>小型聯發科期貨近一(2603)</v>
      </c>
      <c r="C12" s="155">
        <f>IF(ISNUMBER(C112),C112,0)</f>
        <v>1770</v>
      </c>
      <c r="D12" s="155" cm="1">
        <f t="array" ref="D12">[2]!'WPUF&amp;.184'</f>
        <v>-5</v>
      </c>
      <c r="E12" s="156" cm="1">
        <f t="array" ref="E12">[2]!'WPUF&amp;.185'*0.01</f>
        <v>-2.8169000000000002E-3</v>
      </c>
      <c r="F12" s="157">
        <f t="shared" si="2"/>
        <v>4</v>
      </c>
      <c r="G12" s="158">
        <f t="shared" si="2"/>
        <v>1765</v>
      </c>
      <c r="H12" s="159">
        <f t="shared" si="2"/>
        <v>1770</v>
      </c>
      <c r="I12" s="160">
        <f t="shared" si="2"/>
        <v>9</v>
      </c>
      <c r="J12" s="155">
        <f t="shared" si="2"/>
        <v>1</v>
      </c>
      <c r="K12" s="155">
        <f t="shared" si="2"/>
        <v>1893</v>
      </c>
      <c r="L12" s="155" cm="1">
        <f t="array" ref="L12">[2]!'WPUF&amp;.130'</f>
        <v>1790</v>
      </c>
      <c r="M12" s="155" cm="1">
        <f t="array" ref="M12">[2]!'WPUF&amp;.131'</f>
        <v>1745</v>
      </c>
      <c r="N12" s="155" cm="1">
        <f t="array" ref="N12">[2]!'WPUF&amp;.129'</f>
        <v>1775</v>
      </c>
      <c r="O12" s="155" cm="1">
        <f t="array" ref="O12">[2]!'WPUF&amp;.205'</f>
        <v>1775</v>
      </c>
      <c r="P12" s="182" cm="1">
        <f t="array" ref="P12">[2]!'WPUF&amp;.143'</f>
        <v>134459</v>
      </c>
    </row>
    <row r="13" spans="1:63">
      <c r="A13" s="201"/>
      <c r="B13" s="89" t="str" cm="1">
        <f t="array" ref="B13">[2]!'WPUF@.2020'</f>
        <v>小型聯發科期貨近二(2604)</v>
      </c>
      <c r="C13" s="155">
        <f>IF(ISNUMBER(C113),C113,0)</f>
        <v>1770</v>
      </c>
      <c r="D13" s="155" cm="1">
        <f t="array" ref="D13">[2]!'WPUF@.184'</f>
        <v>-5</v>
      </c>
      <c r="E13" s="156" cm="1">
        <f t="array" ref="E13">[2]!'WPUF@.185'*0.01</f>
        <v>-2.8169000000000002E-3</v>
      </c>
      <c r="F13" s="161">
        <f t="shared" si="2"/>
        <v>10</v>
      </c>
      <c r="G13" s="162">
        <f t="shared" si="2"/>
        <v>1770</v>
      </c>
      <c r="H13" s="163">
        <f t="shared" si="2"/>
        <v>1775</v>
      </c>
      <c r="I13" s="164">
        <f t="shared" si="2"/>
        <v>9</v>
      </c>
      <c r="J13" s="155">
        <f t="shared" si="2"/>
        <v>1</v>
      </c>
      <c r="K13" s="155">
        <f t="shared" si="2"/>
        <v>277</v>
      </c>
      <c r="L13" s="155" cm="1">
        <f t="array" ref="L13">[2]!'WPUF@.130'</f>
        <v>1795</v>
      </c>
      <c r="M13" s="155" cm="1">
        <f t="array" ref="M13">[2]!'WPUF@.131'</f>
        <v>1750</v>
      </c>
      <c r="N13" s="155" cm="1">
        <f t="array" ref="N13">[2]!'WPUF@.129'</f>
        <v>1775</v>
      </c>
      <c r="O13" s="155" cm="1">
        <f t="array" ref="O13">[2]!'WPUF@.205'</f>
        <v>1775</v>
      </c>
      <c r="P13" s="182" cm="1">
        <f t="array" ref="P13">[2]!'WPUF@.143'</f>
        <v>134456</v>
      </c>
      <c r="Q13" s="15" t="s">
        <v>316</v>
      </c>
      <c r="R13" s="15" t="s">
        <v>2684</v>
      </c>
    </row>
    <row r="14" spans="1:63">
      <c r="A14" s="201"/>
      <c r="B14" s="81" t="str">
        <f>[3]!'WPUFH6/J6.2020'</f>
        <v>小型聯發科期貨202603/202604</v>
      </c>
      <c r="C14" s="165">
        <f>[3]!'WPUFH6/J6.125'</f>
        <v>4.5599999999999996</v>
      </c>
      <c r="D14" s="165"/>
      <c r="E14" s="166"/>
      <c r="F14" s="167">
        <f>[3]!'WPUFH6/J6.113'</f>
        <v>67</v>
      </c>
      <c r="G14" s="168">
        <f>[3]!'WPUFH6/J6.101'</f>
        <v>4.55</v>
      </c>
      <c r="H14" s="169">
        <f>[3]!'WPUFH6/J6.102'</f>
        <v>4.5599999999999996</v>
      </c>
      <c r="I14" s="170">
        <f>[3]!'WPUFH6/J6.114'</f>
        <v>40</v>
      </c>
      <c r="J14" s="165">
        <f>[3]!'WPUFH6/J6.413'</f>
        <v>1</v>
      </c>
      <c r="K14" s="165">
        <f>[3]!'WPUFH6/J6.404'</f>
        <v>170</v>
      </c>
      <c r="L14" s="165">
        <f>[3]!'WPUFH6/J6.130'</f>
        <v>4.5599999999999996</v>
      </c>
      <c r="M14" s="165">
        <f>[3]!'WPUFH6/J6.131'</f>
        <v>4.3</v>
      </c>
      <c r="N14" s="165">
        <f>[3]!'WPUFH6/J6.129'</f>
        <v>0</v>
      </c>
      <c r="O14" s="165" t="str">
        <f>[3]!'WPUFH6/J6.205'</f>
        <v>-</v>
      </c>
      <c r="P14" s="183">
        <f>[3]!'WPUFH6/J6.143'</f>
        <v>130115</v>
      </c>
      <c r="Q14" s="15" t="s">
        <v>77</v>
      </c>
      <c r="R14" s="15" t="s">
        <v>77</v>
      </c>
    </row>
    <row r="15" spans="1:63">
      <c r="A15" s="201" t="s">
        <v>2669</v>
      </c>
      <c r="B15" s="72" t="str" cm="1">
        <f t="array" ref="B15">[2]!'WDVF&amp;.2020'</f>
        <v>聯發科期貨近一(2603)</v>
      </c>
      <c r="C15" s="171">
        <f>IF(ISNUMBER(C115),C115,0)</f>
        <v>1770</v>
      </c>
      <c r="D15" s="171" cm="1">
        <f t="array" ref="D15">[2]!'WDVF&amp;.184'</f>
        <v>-5</v>
      </c>
      <c r="E15" s="172" cm="1">
        <f t="array" ref="E15">[2]!'WDVF&amp;.185'*0.01</f>
        <v>-2.8169000000000002E-3</v>
      </c>
      <c r="F15" s="173">
        <f t="shared" ref="F15:K16" si="3">IF(ISNUMBER(F115),F115,0)</f>
        <v>2</v>
      </c>
      <c r="G15" s="174">
        <f t="shared" si="3"/>
        <v>1765</v>
      </c>
      <c r="H15" s="175">
        <f t="shared" si="3"/>
        <v>1775</v>
      </c>
      <c r="I15" s="176">
        <f t="shared" si="3"/>
        <v>5</v>
      </c>
      <c r="J15" s="171">
        <f>IF(ISNUMBER(J115),J115,0)</f>
        <v>1</v>
      </c>
      <c r="K15" s="171">
        <f t="shared" si="3"/>
        <v>537</v>
      </c>
      <c r="L15" s="171" cm="1">
        <f t="array" ref="L15">[2]!'WDVF&amp;.130'</f>
        <v>1790</v>
      </c>
      <c r="M15" s="171" cm="1">
        <f t="array" ref="M15">[2]!'WDVF&amp;.131'</f>
        <v>1745</v>
      </c>
      <c r="N15" s="171" cm="1">
        <f t="array" ref="N15">[2]!'WDVF&amp;.129'</f>
        <v>1775</v>
      </c>
      <c r="O15" s="171" cm="1">
        <f t="array" ref="O15">[2]!'WDVF&amp;.205'</f>
        <v>1775</v>
      </c>
      <c r="P15" s="181" cm="1">
        <f t="array" ref="P15">[2]!'WDVF&amp;.143'</f>
        <v>134101</v>
      </c>
      <c r="Q15" s="15">
        <f>D11</f>
        <v>-10</v>
      </c>
      <c r="R15" s="15">
        <f>D18</f>
        <v>-10</v>
      </c>
    </row>
    <row r="16" spans="1:63">
      <c r="A16" s="201"/>
      <c r="B16" s="80" t="str" cm="1">
        <f t="array" ref="B16">[2]!'WDVF@.2020'</f>
        <v>聯發科期貨近二(2604)</v>
      </c>
      <c r="C16" s="155">
        <f>IF(ISNUMBER(C116),C116,0)</f>
        <v>1775</v>
      </c>
      <c r="D16" s="155" cm="1">
        <f t="array" ref="D16">[2]!'WDVF@.184'</f>
        <v>0</v>
      </c>
      <c r="E16" s="156" cm="1">
        <f t="array" ref="E16">[2]!'WDVF@.185'*0.01</f>
        <v>0</v>
      </c>
      <c r="F16" s="161">
        <f t="shared" si="3"/>
        <v>1</v>
      </c>
      <c r="G16" s="162">
        <f t="shared" si="3"/>
        <v>1770</v>
      </c>
      <c r="H16" s="163">
        <f t="shared" si="3"/>
        <v>1775</v>
      </c>
      <c r="I16" s="164">
        <f t="shared" si="3"/>
        <v>2</v>
      </c>
      <c r="J16" s="155">
        <f t="shared" si="3"/>
        <v>1</v>
      </c>
      <c r="K16" s="155">
        <f t="shared" si="3"/>
        <v>42</v>
      </c>
      <c r="L16" s="155" cm="1">
        <f t="array" ref="L16">[2]!'WDVF@.130'</f>
        <v>1795</v>
      </c>
      <c r="M16" s="155" cm="1">
        <f t="array" ref="M16">[2]!'WDVF@.131'</f>
        <v>1760</v>
      </c>
      <c r="N16" s="155" cm="1">
        <f t="array" ref="N16">[2]!'WDVF@.129'</f>
        <v>1775</v>
      </c>
      <c r="O16" s="155" cm="1">
        <f t="array" ref="O16">[2]!'WDVF@.205'</f>
        <v>1775</v>
      </c>
      <c r="P16" s="182" cm="1">
        <f t="array" ref="P16">[2]!'WDVF@.143'</f>
        <v>133025</v>
      </c>
      <c r="Q16" s="15" t="str">
        <f>"最高"&amp;L11</f>
        <v>最高1790</v>
      </c>
      <c r="R16" s="15" t="str">
        <f>"最高"&amp;L18</f>
        <v>最高1900</v>
      </c>
    </row>
    <row r="17" spans="1:18" ht="17.25" thickBot="1">
      <c r="A17" s="201"/>
      <c r="B17" s="81" t="str">
        <f>[3]!'WDVFH6/J6.2020'</f>
        <v>聯發科期貨202603/202604</v>
      </c>
      <c r="C17" s="165">
        <f>[3]!'WDVFH6/J6.125'</f>
        <v>4.5999999999999996</v>
      </c>
      <c r="D17" s="165"/>
      <c r="E17" s="166"/>
      <c r="F17" s="167">
        <f>[3]!'WDVFH6/J6.113'</f>
        <v>4</v>
      </c>
      <c r="G17" s="168">
        <f>[3]!'WDVFH6/J6.101'</f>
        <v>4.6900000000000004</v>
      </c>
      <c r="H17" s="169">
        <f>[3]!'WDVFH6/J6.102'</f>
        <v>4.7</v>
      </c>
      <c r="I17" s="170">
        <f>[3]!'WDVFH6/J6.114'</f>
        <v>5</v>
      </c>
      <c r="J17" s="165">
        <f>[3]!'WDVFH6/J6.413'</f>
        <v>1</v>
      </c>
      <c r="K17" s="165">
        <f>[3]!'WDVFH6/J6.404'</f>
        <v>250</v>
      </c>
      <c r="L17" s="165">
        <f>[3]!'WDVFH6/J6.130'</f>
        <v>5.01</v>
      </c>
      <c r="M17" s="165">
        <f>[3]!'WDVFH6/J6.131'</f>
        <v>3.81</v>
      </c>
      <c r="N17" s="165">
        <f>[3]!'WDVFH6/J6.129'</f>
        <v>0</v>
      </c>
      <c r="O17" s="165" t="str">
        <f>[3]!'WDVFH6/J6.205'</f>
        <v>-</v>
      </c>
      <c r="P17" s="183">
        <f>[3]!'WDVFH6/J6.143'</f>
        <v>131608</v>
      </c>
      <c r="Q17" s="15">
        <f>C11</f>
        <v>1765</v>
      </c>
      <c r="R17" s="15">
        <f>C18</f>
        <v>1890</v>
      </c>
    </row>
    <row r="18" spans="1:18" ht="18" thickTop="1" thickBot="1">
      <c r="A18" s="201" t="s">
        <v>2669</v>
      </c>
      <c r="B18" s="133" t="s">
        <v>2699</v>
      </c>
      <c r="C18" s="134">
        <f>IF(ISNUMBER(C118),C118,0)</f>
        <v>1890</v>
      </c>
      <c r="D18" s="134" cm="1">
        <f t="array" ref="D18">[1]!'2330.184'</f>
        <v>-10</v>
      </c>
      <c r="E18" s="135" cm="1">
        <f t="array" ref="E18">[1]!'2330.185'*0.01</f>
        <v>-5.2631500000000003E-3</v>
      </c>
      <c r="F18" s="136">
        <f t="shared" ref="F18:K20" si="4">IF(ISNUMBER(F118),F118,0)</f>
        <v>1119</v>
      </c>
      <c r="G18" s="137">
        <f t="shared" si="4"/>
        <v>1885</v>
      </c>
      <c r="H18" s="138">
        <f t="shared" si="4"/>
        <v>1890</v>
      </c>
      <c r="I18" s="139">
        <f t="shared" si="4"/>
        <v>351</v>
      </c>
      <c r="J18" s="134">
        <f t="shared" si="4"/>
        <v>4195</v>
      </c>
      <c r="K18" s="134">
        <f t="shared" si="4"/>
        <v>29992</v>
      </c>
      <c r="L18" s="134" cm="1">
        <f t="array" ref="L18">[1]!'2330.130'</f>
        <v>1900</v>
      </c>
      <c r="M18" s="134" cm="1">
        <f t="array" ref="M18">[1]!'2330.131'</f>
        <v>1880</v>
      </c>
      <c r="N18" s="134" cm="1">
        <f t="array" ref="N18">[1]!'2330.129'</f>
        <v>1900</v>
      </c>
      <c r="O18" s="134" t="str" cm="1">
        <f t="array" ref="O18">[1]!'2330.205'</f>
        <v>-</v>
      </c>
      <c r="P18" s="180" cm="1">
        <f t="array" ref="P18">[1]!'2330.143'</f>
        <v>133000</v>
      </c>
      <c r="Q18" s="15" t="str">
        <f>"最低"&amp;M11</f>
        <v>最低1735</v>
      </c>
      <c r="R18" s="15" t="str">
        <f>"最低"&amp;M18</f>
        <v>最低1880</v>
      </c>
    </row>
    <row r="19" spans="1:18" ht="17.25" thickTop="1">
      <c r="A19" s="201" t="s">
        <v>2669</v>
      </c>
      <c r="B19" s="90" t="str" cm="1">
        <f t="array" ref="B19">[2]!'WQFF&amp;.2020'</f>
        <v>小型台積電期貨近一(2603)</v>
      </c>
      <c r="C19" s="115">
        <f>IF(ISNUMBER(C119),C119,0)</f>
        <v>1900</v>
      </c>
      <c r="D19" s="115" cm="1">
        <f t="array" ref="D19">[2]!'WQFF&amp;.184'</f>
        <v>-10</v>
      </c>
      <c r="E19" s="116" cm="1">
        <f t="array" ref="E19">[2]!'WQFF&amp;.185'*0.01</f>
        <v>-5.2356E-3</v>
      </c>
      <c r="F19" s="117">
        <f t="shared" si="4"/>
        <v>55</v>
      </c>
      <c r="G19" s="118">
        <f t="shared" si="4"/>
        <v>1900</v>
      </c>
      <c r="H19" s="119">
        <f t="shared" si="4"/>
        <v>1905</v>
      </c>
      <c r="I19" s="120">
        <f t="shared" si="4"/>
        <v>39</v>
      </c>
      <c r="J19" s="115">
        <f t="shared" si="4"/>
        <v>1</v>
      </c>
      <c r="K19" s="115">
        <f t="shared" si="4"/>
        <v>27492</v>
      </c>
      <c r="L19" s="115" cm="1">
        <f t="array" ref="L19">[2]!'WQFF&amp;.130'</f>
        <v>1915</v>
      </c>
      <c r="M19" s="115" cm="1">
        <f t="array" ref="M19">[2]!'WQFF&amp;.131'</f>
        <v>1860</v>
      </c>
      <c r="N19" s="115" cm="1">
        <f t="array" ref="N19">[2]!'WQFF&amp;.129'</f>
        <v>1910</v>
      </c>
      <c r="O19" s="115" cm="1">
        <f t="array" ref="O19">[2]!'WQFF&amp;.205'</f>
        <v>1910</v>
      </c>
      <c r="P19" s="181" cm="1">
        <f t="array" ref="P19">[2]!'WQFF&amp;.143'</f>
        <v>134458</v>
      </c>
      <c r="Q19" s="16">
        <f>(C11-M11)/(L11-M11)</f>
        <v>0.54545454545454541</v>
      </c>
      <c r="R19" s="16">
        <f>(C18-M18)/(L18-M18)</f>
        <v>0.5</v>
      </c>
    </row>
    <row r="20" spans="1:18">
      <c r="A20" s="201"/>
      <c r="B20" s="89" t="str" cm="1">
        <f t="array" ref="B20">[2]!'WQFF@.2020'</f>
        <v>小型台積電期貨近二(2604)</v>
      </c>
      <c r="C20" s="113">
        <f>IF(ISNUMBER(C120),C120,0)</f>
        <v>1910</v>
      </c>
      <c r="D20" s="113" cm="1">
        <f t="array" ref="D20">[2]!'WQFF@.184'</f>
        <v>-10</v>
      </c>
      <c r="E20" s="114" cm="1">
        <f t="array" ref="E20">[2]!'WQFF@.185'*0.01</f>
        <v>-5.2083299999999997E-3</v>
      </c>
      <c r="F20" s="121">
        <f t="shared" si="4"/>
        <v>62</v>
      </c>
      <c r="G20" s="122">
        <f t="shared" si="4"/>
        <v>1905</v>
      </c>
      <c r="H20" s="123">
        <f t="shared" si="4"/>
        <v>1915</v>
      </c>
      <c r="I20" s="124">
        <f t="shared" si="4"/>
        <v>58</v>
      </c>
      <c r="J20" s="113">
        <f t="shared" si="4"/>
        <v>1</v>
      </c>
      <c r="K20" s="113">
        <f t="shared" si="4"/>
        <v>3917</v>
      </c>
      <c r="L20" s="113" cm="1">
        <f t="array" ref="L20">[2]!'WQFF@.130'</f>
        <v>1925</v>
      </c>
      <c r="M20" s="113" cm="1">
        <f t="array" ref="M20">[2]!'WQFF@.131'</f>
        <v>1865</v>
      </c>
      <c r="N20" s="113" cm="1">
        <f t="array" ref="N20">[2]!'WQFF@.129'</f>
        <v>1920</v>
      </c>
      <c r="O20" s="113" cm="1">
        <f t="array" ref="O20">[2]!'WQFF@.205'</f>
        <v>1920</v>
      </c>
      <c r="P20" s="182" cm="1">
        <f t="array" ref="P20">[2]!'WQFF@.143'</f>
        <v>134458</v>
      </c>
      <c r="Q20" s="15" t="s">
        <v>2683</v>
      </c>
      <c r="R20" s="15" t="s">
        <v>2683</v>
      </c>
    </row>
    <row r="21" spans="1:18">
      <c r="A21" s="201"/>
      <c r="B21" s="81" t="str">
        <f>[3]!'WQFFH6/J6.2020'</f>
        <v>小型台積電期貨202603/202604</v>
      </c>
      <c r="C21" s="125">
        <f>[3]!'WQFFH6/J6.125'</f>
        <v>8.1</v>
      </c>
      <c r="D21" s="125"/>
      <c r="E21" s="126"/>
      <c r="F21" s="127">
        <f>[3]!'WQFFH6/J6.113'</f>
        <v>256</v>
      </c>
      <c r="G21" s="128">
        <f>[3]!'WQFFH6/J6.101'</f>
        <v>8.1</v>
      </c>
      <c r="H21" s="129">
        <f>[3]!'WQFFH6/J6.102'</f>
        <v>8.11</v>
      </c>
      <c r="I21" s="130">
        <f>[3]!'WQFFH6/J6.114'</f>
        <v>371</v>
      </c>
      <c r="J21" s="125">
        <f>[3]!'WQFFH6/J6.413'</f>
        <v>5</v>
      </c>
      <c r="K21" s="125">
        <f>[3]!'WQFFH6/J6.404'</f>
        <v>1008</v>
      </c>
      <c r="L21" s="125">
        <f>[3]!'WQFFH6/J6.130'</f>
        <v>8.31</v>
      </c>
      <c r="M21" s="125">
        <f>[3]!'WQFFH6/J6.131'</f>
        <v>8.1</v>
      </c>
      <c r="N21" s="125">
        <f>[3]!'WQFFH6/J6.129'</f>
        <v>10</v>
      </c>
      <c r="O21" s="125" t="str">
        <f>[3]!'WQFFH6/J6.205'</f>
        <v>-</v>
      </c>
      <c r="P21" s="183">
        <f>[3]!'WQFFH6/J6.143'</f>
        <v>134107</v>
      </c>
      <c r="Q21" s="15">
        <f>L11-M11</f>
        <v>55</v>
      </c>
      <c r="R21" s="15">
        <f>L18-M18</f>
        <v>20</v>
      </c>
    </row>
    <row r="22" spans="1:18">
      <c r="A22" s="201" t="s">
        <v>2669</v>
      </c>
      <c r="B22" s="72" t="str">
        <f>[2]!'WCDF&amp;.2020'</f>
        <v>台積電期貨近一(2603)</v>
      </c>
      <c r="C22" s="115">
        <f>IF(ISNUMBER(C122),C122,0)</f>
        <v>1900</v>
      </c>
      <c r="D22" s="115">
        <f>[2]!'WCDF&amp;.184'</f>
        <v>-10</v>
      </c>
      <c r="E22" s="116">
        <f>[2]!'WCDF&amp;.185'*0.01</f>
        <v>-5.2356E-3</v>
      </c>
      <c r="F22" s="117">
        <f t="shared" ref="F22:K23" si="5">IF(ISNUMBER(F122),F122,0)</f>
        <v>3</v>
      </c>
      <c r="G22" s="118">
        <f t="shared" si="5"/>
        <v>1900</v>
      </c>
      <c r="H22" s="119">
        <f t="shared" si="5"/>
        <v>1905</v>
      </c>
      <c r="I22" s="120">
        <f t="shared" si="5"/>
        <v>57</v>
      </c>
      <c r="J22" s="115">
        <f t="shared" si="5"/>
        <v>1</v>
      </c>
      <c r="K22" s="115">
        <f t="shared" si="5"/>
        <v>5948</v>
      </c>
      <c r="L22" s="115">
        <f>[2]!'WCDF&amp;.130'</f>
        <v>1915</v>
      </c>
      <c r="M22" s="115">
        <f>[2]!'WCDF&amp;.131'</f>
        <v>1860</v>
      </c>
      <c r="N22" s="115">
        <f>[2]!'WCDF&amp;.129'</f>
        <v>1910</v>
      </c>
      <c r="O22" s="115">
        <f>[2]!'WCDF&amp;.205'</f>
        <v>1910</v>
      </c>
      <c r="P22" s="181">
        <f>[2]!'WCDF&amp;.143'</f>
        <v>134457</v>
      </c>
      <c r="Q22" s="54" t="str">
        <f>G10 &amp; " / " &amp; H10</f>
        <v>3305 / 3310</v>
      </c>
      <c r="R22" s="54" t="str">
        <f>G18 &amp; " / " &amp;H18</f>
        <v>1885 / 1890</v>
      </c>
    </row>
    <row r="23" spans="1:18">
      <c r="A23" s="201"/>
      <c r="B23" s="80" t="str" cm="1">
        <f t="array" ref="B23">[2]!'WCDF@.2020'</f>
        <v>台積電期貨近二(2604)</v>
      </c>
      <c r="C23" s="113">
        <f>IF(ISNUMBER(C123),C123,0)</f>
        <v>1910</v>
      </c>
      <c r="D23" s="113" cm="1">
        <f t="array" ref="D23">[2]!'WCDF@.184'</f>
        <v>-10</v>
      </c>
      <c r="E23" s="114" cm="1">
        <f t="array" ref="E23">[2]!'WCDF@.185'*0.01</f>
        <v>-5.2083299999999997E-3</v>
      </c>
      <c r="F23" s="121">
        <f t="shared" si="5"/>
        <v>3</v>
      </c>
      <c r="G23" s="122">
        <f t="shared" si="5"/>
        <v>1905</v>
      </c>
      <c r="H23" s="123">
        <f t="shared" si="5"/>
        <v>1910</v>
      </c>
      <c r="I23" s="124">
        <f t="shared" si="5"/>
        <v>6</v>
      </c>
      <c r="J23" s="113">
        <f t="shared" si="5"/>
        <v>1</v>
      </c>
      <c r="K23" s="113">
        <f t="shared" si="5"/>
        <v>973</v>
      </c>
      <c r="L23" s="113" cm="1">
        <f t="array" ref="L23">[2]!'WCDF@.130'</f>
        <v>1920</v>
      </c>
      <c r="M23" s="113" cm="1">
        <f t="array" ref="M23">[2]!'WCDF@.131'</f>
        <v>1865</v>
      </c>
      <c r="N23" s="113" cm="1">
        <f t="array" ref="N23">[2]!'WCDF@.129'</f>
        <v>1920</v>
      </c>
      <c r="O23" s="113" cm="1">
        <f t="array" ref="O23">[2]!'WCDF@.205'</f>
        <v>1920</v>
      </c>
      <c r="P23" s="182" cm="1">
        <f t="array" ref="P23">[2]!'WCDF@.143'</f>
        <v>134328</v>
      </c>
    </row>
    <row r="24" spans="1:18" ht="17.25" thickBot="1">
      <c r="A24" s="201"/>
      <c r="B24" s="81" t="str">
        <f>[3]!'WCDFH6/J6.2020'</f>
        <v>台積電期貨202603/202604</v>
      </c>
      <c r="C24" s="125">
        <f>[3]!'WCDFH6/J6.125'</f>
        <v>8.06</v>
      </c>
      <c r="D24" s="125"/>
      <c r="E24" s="126"/>
      <c r="F24" s="127">
        <f>[3]!'WCDFH6/J6.113'</f>
        <v>20</v>
      </c>
      <c r="G24" s="128">
        <f>[3]!'WCDFH6/J6.101'</f>
        <v>8.0500000000000007</v>
      </c>
      <c r="H24" s="129">
        <f>[3]!'WCDFH6/J6.102'</f>
        <v>8.06</v>
      </c>
      <c r="I24" s="130">
        <f>[3]!'WCDFH6/J6.114'</f>
        <v>17</v>
      </c>
      <c r="J24" s="125">
        <f>[3]!'WCDFH6/J6.413'</f>
        <v>2</v>
      </c>
      <c r="K24" s="125">
        <f>[3]!'WCDFH6/J6.404'</f>
        <v>1660</v>
      </c>
      <c r="L24" s="125">
        <f>[3]!'WCDFH6/J6.130'</f>
        <v>8.33</v>
      </c>
      <c r="M24" s="125">
        <f>[3]!'WCDFH6/J6.131'</f>
        <v>8.0500000000000007</v>
      </c>
      <c r="N24" s="125">
        <f>[3]!'WCDFH6/J6.129'</f>
        <v>10</v>
      </c>
      <c r="O24" s="125" t="str">
        <f>[3]!'WCDFH6/J6.205'</f>
        <v>-</v>
      </c>
      <c r="P24" s="183">
        <f>[3]!'WCDFH6/J6.143'</f>
        <v>134338</v>
      </c>
    </row>
    <row r="25" spans="1:18" ht="18" thickTop="1" thickBot="1">
      <c r="A25" s="201"/>
      <c r="B25" s="133" t="str" cm="1">
        <f t="array" ref="B25">[2]!'WTX&amp;.2020'</f>
        <v>台指期近一(2603)</v>
      </c>
      <c r="C25" s="149">
        <f>IF(ISNUMBER(C125),C125,0)</f>
        <v>33704</v>
      </c>
      <c r="D25" s="149" cm="1">
        <f t="array" ref="D25">[2]!'WTX&amp;.184'</f>
        <v>38</v>
      </c>
      <c r="E25" s="150" cm="1">
        <f t="array" ref="E25">[2]!'WTX&amp;.185'*0.01</f>
        <v>1.1287300000000001E-3</v>
      </c>
      <c r="F25" s="151">
        <f t="shared" ref="F25:K27" si="6">IF(ISNUMBER(F125),F125,0)</f>
        <v>1</v>
      </c>
      <c r="G25" s="152">
        <f t="shared" si="6"/>
        <v>33705</v>
      </c>
      <c r="H25" s="153">
        <f t="shared" si="6"/>
        <v>33709</v>
      </c>
      <c r="I25" s="154">
        <f t="shared" si="6"/>
        <v>2</v>
      </c>
      <c r="J25" s="149">
        <f t="shared" si="6"/>
        <v>1</v>
      </c>
      <c r="K25" s="149">
        <f t="shared" si="6"/>
        <v>214672</v>
      </c>
      <c r="L25" s="149" cm="1">
        <f t="array" ref="L25">[2]!'WTX&amp;.130'</f>
        <v>33888</v>
      </c>
      <c r="M25" s="149" cm="1">
        <f t="array" ref="M25">[2]!'WTX&amp;.131'</f>
        <v>32820</v>
      </c>
      <c r="N25" s="149" cm="1">
        <f t="array" ref="N25">[2]!'WTX&amp;.129'</f>
        <v>33666</v>
      </c>
      <c r="O25" s="149" cm="1">
        <f t="array" ref="O25">[2]!'WTX&amp;.205'</f>
        <v>33666</v>
      </c>
      <c r="P25" s="180" cm="1">
        <f t="array" ref="P25">[2]!'WTX&amp;.143'</f>
        <v>134459</v>
      </c>
      <c r="Q25" s="61">
        <f>(C25-M25)/(L25-M25)</f>
        <v>0.82771535580524347</v>
      </c>
    </row>
    <row r="26" spans="1:18" ht="17.25" thickTop="1">
      <c r="A26" s="201"/>
      <c r="B26" s="14" t="str" cm="1">
        <f t="array" ref="B26">[2]!'WZE&amp;.2020'</f>
        <v>小型電子近一(2603)</v>
      </c>
      <c r="C26" s="52">
        <f>IF(ISNUMBER(C126),C126,0)</f>
        <v>2081.1999999999998</v>
      </c>
      <c r="D26" s="52" cm="1">
        <f t="array" ref="D26">[2]!'WZE&amp;.184'</f>
        <v>-6.2</v>
      </c>
      <c r="E26" s="91" cm="1">
        <f t="array" ref="E26">[2]!'WZE&amp;.185'*0.01</f>
        <v>-2.9702000000000001E-3</v>
      </c>
      <c r="F26" s="102">
        <f t="shared" si="6"/>
        <v>1</v>
      </c>
      <c r="G26" s="103">
        <f t="shared" si="6"/>
        <v>2081.0500000000002</v>
      </c>
      <c r="H26" s="104">
        <f t="shared" si="6"/>
        <v>2082.85</v>
      </c>
      <c r="I26" s="105">
        <f t="shared" si="6"/>
        <v>3</v>
      </c>
      <c r="J26" s="52">
        <f t="shared" si="6"/>
        <v>2</v>
      </c>
      <c r="K26" s="52">
        <f t="shared" si="6"/>
        <v>3349</v>
      </c>
      <c r="L26" s="52" cm="1">
        <f t="array" ref="L26">[2]!'WZE&amp;.130'</f>
        <v>2094.5500000000002</v>
      </c>
      <c r="M26" s="52" cm="1">
        <f t="array" ref="M26">[2]!'WZE&amp;.131'</f>
        <v>2025</v>
      </c>
      <c r="N26" s="52" cm="1">
        <f t="array" ref="N26">[2]!'WZE&amp;.129'</f>
        <v>2087.4</v>
      </c>
      <c r="O26" s="52" cm="1">
        <f t="array" ref="O26">[2]!'WZE&amp;.205'</f>
        <v>2087.4</v>
      </c>
      <c r="P26" s="182" cm="1">
        <f t="array" ref="P26">[2]!'WZE&amp;.143'</f>
        <v>134452</v>
      </c>
    </row>
    <row r="27" spans="1:18">
      <c r="A27" s="201"/>
      <c r="B27" s="14" t="str" cm="1">
        <f t="array" ref="B27">[1]!'#001.2020'</f>
        <v>加權指數</v>
      </c>
      <c r="C27" s="140">
        <f>IF(ISNUMBER(C127),C127,0)</f>
        <v>33599.54</v>
      </c>
      <c r="D27" s="52" cm="1">
        <f t="array" ref="D27">[1]!'#001.184'</f>
        <v>-73.400000000000006</v>
      </c>
      <c r="E27" s="178" cm="1">
        <f t="array" ref="E27">[1]!'#001.185'*0.01</f>
        <v>-2.17979E-3</v>
      </c>
      <c r="F27" s="104" t="s">
        <v>2708</v>
      </c>
      <c r="G27" s="177">
        <f>C25-C27</f>
        <v>104.45999999999913</v>
      </c>
      <c r="H27" s="104"/>
      <c r="I27" s="105"/>
      <c r="J27" s="52"/>
      <c r="K27" s="52">
        <f t="shared" si="6"/>
        <v>6311</v>
      </c>
      <c r="L27" s="52" cm="1">
        <f t="array" ref="L27">[1]!'#001.130'</f>
        <v>33829.49</v>
      </c>
      <c r="M27" s="52" cm="1">
        <f t="array" ref="M27">[1]!'#001.131'</f>
        <v>33322.519999999997</v>
      </c>
      <c r="N27" s="52"/>
      <c r="O27" s="52"/>
      <c r="P27" s="79"/>
      <c r="Q27" s="131"/>
    </row>
    <row r="28" spans="1:18">
      <c r="A28" s="201"/>
      <c r="B28" s="89"/>
      <c r="C28" s="52"/>
      <c r="D28" s="52"/>
      <c r="E28" s="91"/>
      <c r="F28" s="102"/>
      <c r="G28" s="103"/>
      <c r="H28" s="104"/>
      <c r="I28" s="105"/>
      <c r="J28" s="52"/>
      <c r="K28" s="52"/>
      <c r="L28" s="52"/>
      <c r="M28" s="52"/>
      <c r="N28" s="52"/>
      <c r="O28" s="52"/>
      <c r="P28" s="21"/>
    </row>
    <row r="29" spans="1:18">
      <c r="A29" s="201"/>
      <c r="B29" s="81"/>
      <c r="C29" s="106"/>
      <c r="D29" s="106"/>
      <c r="E29" s="107"/>
      <c r="F29" s="108"/>
      <c r="G29" s="109"/>
      <c r="H29" s="110"/>
      <c r="I29" s="111"/>
      <c r="J29" s="106"/>
      <c r="K29" s="106"/>
      <c r="L29" s="106"/>
      <c r="M29" s="106"/>
      <c r="N29" s="106"/>
      <c r="O29" s="106"/>
      <c r="P29" s="88"/>
    </row>
    <row r="30" spans="1:18">
      <c r="A30" s="201"/>
      <c r="B30" s="72"/>
      <c r="C30" s="73"/>
      <c r="D30" s="73"/>
      <c r="E30" s="74"/>
      <c r="F30" s="75"/>
      <c r="G30" s="76"/>
      <c r="H30" s="77"/>
      <c r="I30" s="78"/>
      <c r="J30" s="73"/>
      <c r="K30" s="73"/>
      <c r="L30" s="73"/>
      <c r="M30" s="73"/>
      <c r="N30" s="73"/>
      <c r="O30" s="73"/>
      <c r="P30" s="79"/>
    </row>
    <row r="31" spans="1:18">
      <c r="A31" s="201"/>
      <c r="B31" s="80"/>
      <c r="C31" s="15"/>
      <c r="D31" s="15"/>
      <c r="E31" s="16"/>
      <c r="F31" s="17"/>
      <c r="G31" s="18"/>
      <c r="H31" s="19"/>
      <c r="I31" s="20"/>
      <c r="J31" s="15"/>
      <c r="K31" s="15"/>
      <c r="L31" s="15"/>
      <c r="M31" s="15"/>
      <c r="N31" s="15"/>
      <c r="O31" s="15"/>
      <c r="P31" s="21"/>
    </row>
    <row r="32" spans="1:18">
      <c r="A32" s="201"/>
      <c r="B32" s="81"/>
      <c r="C32" s="82"/>
      <c r="D32" s="82"/>
      <c r="E32" s="83"/>
      <c r="F32" s="84"/>
      <c r="G32" s="85"/>
      <c r="H32" s="86"/>
      <c r="I32" s="87"/>
      <c r="J32" s="82"/>
      <c r="K32" s="82"/>
      <c r="L32" s="82"/>
      <c r="M32" s="82"/>
      <c r="N32" s="82"/>
      <c r="O32" s="82"/>
      <c r="P32" s="88"/>
    </row>
    <row r="33" spans="1:16">
      <c r="A33" s="201"/>
      <c r="B33" s="14"/>
      <c r="C33" s="15"/>
      <c r="D33" s="15"/>
      <c r="E33" s="16"/>
      <c r="F33" s="68"/>
      <c r="G33" s="69"/>
      <c r="H33" s="70"/>
      <c r="I33" s="71"/>
      <c r="J33" s="15"/>
      <c r="K33" s="15"/>
      <c r="L33" s="15"/>
      <c r="M33" s="15"/>
      <c r="N33" s="15"/>
      <c r="O33" s="15"/>
      <c r="P33" s="79"/>
    </row>
    <row r="34" spans="1:16">
      <c r="A34" s="201"/>
      <c r="B34" s="90"/>
      <c r="C34" s="73"/>
      <c r="D34" s="73"/>
      <c r="E34" s="74"/>
      <c r="F34" s="75"/>
      <c r="G34" s="76"/>
      <c r="H34" s="77"/>
      <c r="I34" s="78"/>
      <c r="J34" s="73"/>
      <c r="K34" s="73"/>
      <c r="L34" s="73"/>
      <c r="M34" s="73"/>
      <c r="N34" s="73"/>
      <c r="O34" s="73"/>
      <c r="P34" s="79"/>
    </row>
    <row r="35" spans="1:16">
      <c r="A35" s="201"/>
      <c r="B35" s="89"/>
      <c r="C35" s="15"/>
      <c r="D35" s="15"/>
      <c r="E35" s="16"/>
      <c r="F35" s="17"/>
      <c r="G35" s="18"/>
      <c r="H35" s="19"/>
      <c r="I35" s="20"/>
      <c r="J35" s="15"/>
      <c r="K35" s="15"/>
      <c r="L35" s="15"/>
      <c r="M35" s="15"/>
      <c r="N35" s="15"/>
      <c r="O35" s="15"/>
      <c r="P35" s="21"/>
    </row>
    <row r="36" spans="1:16">
      <c r="A36" s="201"/>
      <c r="B36" s="81"/>
      <c r="C36" s="82"/>
      <c r="D36" s="82"/>
      <c r="E36" s="83"/>
      <c r="F36" s="84"/>
      <c r="G36" s="85"/>
      <c r="H36" s="86"/>
      <c r="I36" s="87"/>
      <c r="J36" s="82"/>
      <c r="K36" s="82"/>
      <c r="L36" s="82"/>
      <c r="M36" s="82"/>
      <c r="N36" s="82"/>
      <c r="O36" s="82"/>
      <c r="P36" s="88"/>
    </row>
    <row r="37" spans="1:16">
      <c r="A37" s="201"/>
      <c r="B37" s="72"/>
      <c r="C37" s="73"/>
      <c r="D37" s="73"/>
      <c r="E37" s="74"/>
      <c r="F37" s="75"/>
      <c r="G37" s="76"/>
      <c r="H37" s="77"/>
      <c r="I37" s="78"/>
      <c r="J37" s="73"/>
      <c r="K37" s="73"/>
      <c r="L37" s="73"/>
      <c r="M37" s="73"/>
      <c r="N37" s="73"/>
      <c r="O37" s="73"/>
      <c r="P37" s="79"/>
    </row>
    <row r="38" spans="1:16">
      <c r="A38" s="201"/>
      <c r="B38" s="80"/>
      <c r="C38" s="15"/>
      <c r="D38" s="15"/>
      <c r="E38" s="16"/>
      <c r="F38" s="17"/>
      <c r="G38" s="18"/>
      <c r="H38" s="19"/>
      <c r="I38" s="20"/>
      <c r="J38" s="15"/>
      <c r="K38" s="15"/>
      <c r="L38" s="15"/>
      <c r="M38" s="15"/>
      <c r="N38" s="15"/>
      <c r="O38" s="15"/>
      <c r="P38" s="21"/>
    </row>
    <row r="39" spans="1:16">
      <c r="A39" s="201"/>
      <c r="B39" s="81"/>
      <c r="C39" s="82"/>
      <c r="D39" s="82"/>
      <c r="E39" s="83"/>
      <c r="F39" s="84"/>
      <c r="G39" s="85"/>
      <c r="H39" s="86"/>
      <c r="I39" s="87"/>
      <c r="J39" s="82"/>
      <c r="K39" s="82"/>
      <c r="L39" s="82"/>
      <c r="M39" s="82"/>
      <c r="N39" s="82"/>
      <c r="O39" s="82"/>
      <c r="P39" s="88"/>
    </row>
    <row r="40" spans="1:16">
      <c r="A40" s="201"/>
      <c r="B40" s="14"/>
      <c r="C40" s="15"/>
      <c r="D40" s="15"/>
      <c r="E40" s="16"/>
      <c r="F40" s="17"/>
      <c r="G40" s="18"/>
      <c r="H40" s="19"/>
      <c r="I40" s="20"/>
      <c r="J40" s="15"/>
      <c r="K40" s="15"/>
      <c r="L40" s="15"/>
      <c r="M40" s="15"/>
      <c r="N40" s="15"/>
      <c r="O40" s="15"/>
      <c r="P40" s="21"/>
    </row>
    <row r="41" spans="1:16">
      <c r="A41" s="208"/>
      <c r="B41" s="14"/>
      <c r="C41" s="15"/>
      <c r="D41" s="15"/>
      <c r="E41" s="16"/>
      <c r="F41" s="17"/>
      <c r="G41" s="18"/>
      <c r="H41" s="19"/>
      <c r="I41" s="20"/>
      <c r="J41" s="15"/>
      <c r="K41" s="15"/>
      <c r="L41" s="15"/>
      <c r="M41" s="15"/>
      <c r="N41" s="15"/>
      <c r="O41" s="15"/>
      <c r="P41" s="21"/>
    </row>
    <row r="42" spans="1:16">
      <c r="A42" s="208"/>
      <c r="B42" s="14"/>
      <c r="C42" s="15"/>
      <c r="D42" s="15"/>
      <c r="E42" s="16"/>
      <c r="F42" s="17"/>
      <c r="G42" s="18"/>
      <c r="H42" s="19"/>
      <c r="I42" s="20"/>
      <c r="J42" s="15"/>
      <c r="K42" s="15"/>
      <c r="L42" s="15"/>
      <c r="M42" s="15"/>
      <c r="N42" s="15"/>
      <c r="O42" s="15"/>
      <c r="P42" s="21"/>
    </row>
    <row r="43" spans="1:16">
      <c r="A43" s="208"/>
      <c r="B43" s="14"/>
      <c r="C43" s="15"/>
      <c r="D43" s="15"/>
      <c r="E43" s="16"/>
      <c r="F43" s="17"/>
      <c r="G43" s="18"/>
      <c r="H43" s="19"/>
      <c r="I43" s="20"/>
      <c r="J43" s="15"/>
      <c r="K43" s="15"/>
      <c r="L43" s="15"/>
      <c r="M43" s="15"/>
      <c r="P43" s="21"/>
    </row>
    <row r="44" spans="1:16">
      <c r="A44" s="208"/>
      <c r="B44" s="14"/>
      <c r="C44" s="15"/>
      <c r="D44" s="15"/>
      <c r="E44" s="16"/>
      <c r="F44" s="17"/>
      <c r="G44" s="18"/>
      <c r="H44" s="19"/>
      <c r="I44" s="20"/>
      <c r="J44" s="15"/>
      <c r="K44" s="15"/>
      <c r="L44" s="15"/>
      <c r="M44" s="15"/>
      <c r="P44" s="21"/>
    </row>
    <row r="45" spans="1:16">
      <c r="A45" s="208"/>
      <c r="B45" s="14"/>
      <c r="C45" s="15"/>
      <c r="D45" s="15"/>
      <c r="E45" s="16"/>
      <c r="F45" s="17"/>
      <c r="G45" s="18"/>
      <c r="H45" s="19"/>
      <c r="I45" s="20"/>
      <c r="J45" s="15"/>
      <c r="K45" s="15"/>
      <c r="L45" s="15"/>
      <c r="M45" s="15"/>
      <c r="P45" s="21"/>
    </row>
    <row r="46" spans="1:16">
      <c r="A46" s="208"/>
      <c r="B46" s="14"/>
      <c r="C46" s="15"/>
      <c r="D46" s="15"/>
      <c r="E46" s="16"/>
      <c r="F46" s="17"/>
      <c r="G46" s="18"/>
      <c r="H46" s="19"/>
      <c r="I46" s="20"/>
      <c r="J46" s="15"/>
      <c r="K46" s="15"/>
      <c r="L46" s="15"/>
      <c r="M46" s="15"/>
      <c r="P46" s="21"/>
    </row>
    <row r="47" spans="1:16">
      <c r="A47" s="208"/>
      <c r="B47" s="14"/>
      <c r="C47" s="15"/>
      <c r="D47" s="15"/>
      <c r="E47" s="16"/>
      <c r="F47" s="17"/>
      <c r="G47" s="18"/>
      <c r="H47" s="19"/>
      <c r="I47" s="20"/>
      <c r="J47" s="15"/>
      <c r="K47" s="15"/>
      <c r="L47" s="15"/>
      <c r="M47" s="15"/>
      <c r="P47" s="21"/>
    </row>
    <row r="48" spans="1:16">
      <c r="A48" s="208"/>
      <c r="B48" s="14"/>
      <c r="C48" s="15"/>
      <c r="D48" s="15"/>
      <c r="E48" s="16"/>
      <c r="F48" s="17"/>
      <c r="G48" s="18"/>
      <c r="H48" s="19"/>
      <c r="I48" s="20"/>
      <c r="J48" s="15"/>
      <c r="K48" s="15"/>
      <c r="L48" s="15"/>
      <c r="M48" s="15"/>
      <c r="P48" s="21"/>
    </row>
    <row r="49" spans="1:16">
      <c r="A49" s="208"/>
      <c r="B49" s="14"/>
      <c r="C49" s="15"/>
      <c r="D49" s="15"/>
      <c r="E49" s="16"/>
      <c r="F49" s="17"/>
      <c r="G49" s="18"/>
      <c r="H49" s="19"/>
      <c r="I49" s="20"/>
      <c r="J49" s="15"/>
      <c r="K49" s="15"/>
      <c r="L49" s="15"/>
      <c r="M49" s="15"/>
      <c r="P49" s="21"/>
    </row>
    <row r="50" spans="1:16">
      <c r="A50" s="208"/>
      <c r="B50" s="14"/>
      <c r="C50" s="15"/>
      <c r="D50" s="15"/>
      <c r="E50" s="16"/>
      <c r="F50" s="17"/>
      <c r="G50" s="18"/>
      <c r="H50" s="19"/>
      <c r="I50" s="20"/>
      <c r="J50" s="15"/>
      <c r="K50" s="15"/>
      <c r="L50" s="15"/>
      <c r="M50" s="15"/>
      <c r="P50" s="21"/>
    </row>
    <row r="51" spans="1:16">
      <c r="A51" s="53"/>
      <c r="B51" s="14"/>
      <c r="C51" s="15"/>
      <c r="D51" s="15"/>
      <c r="E51" s="16"/>
      <c r="F51" s="17"/>
      <c r="G51" s="18"/>
      <c r="H51" s="19"/>
      <c r="I51" s="20"/>
      <c r="J51" s="15"/>
      <c r="K51" s="15"/>
      <c r="L51" s="15"/>
      <c r="M51" s="15"/>
      <c r="P51" s="21"/>
    </row>
    <row r="52" spans="1:16">
      <c r="A52" s="53"/>
      <c r="B52" s="14"/>
      <c r="C52" s="15"/>
      <c r="D52" s="15"/>
      <c r="E52" s="16"/>
      <c r="F52" s="17"/>
      <c r="G52" s="18"/>
      <c r="H52" s="19"/>
      <c r="I52" s="20"/>
      <c r="J52" s="15"/>
      <c r="K52" s="15"/>
      <c r="L52" s="15"/>
      <c r="M52" s="15"/>
      <c r="P52" s="21"/>
    </row>
    <row r="53" spans="1:16">
      <c r="A53" s="53"/>
      <c r="B53" s="14"/>
      <c r="C53" s="15"/>
      <c r="D53" s="15"/>
      <c r="E53" s="16"/>
      <c r="F53" s="17"/>
      <c r="G53" s="18"/>
      <c r="H53" s="19"/>
      <c r="I53" s="20"/>
      <c r="J53" s="15"/>
      <c r="K53" s="15"/>
      <c r="L53" s="15"/>
      <c r="M53" s="15"/>
      <c r="N53" s="15"/>
      <c r="O53" s="15"/>
      <c r="P53" s="21"/>
    </row>
    <row r="54" spans="1:16">
      <c r="A54" s="53"/>
      <c r="B54" s="14"/>
      <c r="D54" s="15"/>
      <c r="E54" s="16"/>
      <c r="F54" s="17"/>
      <c r="G54" s="18"/>
      <c r="H54" s="19"/>
      <c r="I54" s="20"/>
      <c r="J54" s="15"/>
      <c r="K54" s="15"/>
      <c r="L54" s="15"/>
      <c r="M54" s="15"/>
      <c r="N54" s="15"/>
      <c r="O54" s="15"/>
      <c r="P54" s="21"/>
    </row>
    <row r="55" spans="1:16">
      <c r="A55" s="53"/>
      <c r="B55" s="14"/>
      <c r="C55" s="15"/>
      <c r="D55" s="15"/>
      <c r="E55" s="16"/>
      <c r="F55" s="17"/>
      <c r="G55" s="18"/>
      <c r="H55" s="19"/>
      <c r="I55" s="20"/>
      <c r="J55" s="15"/>
      <c r="K55" s="15"/>
      <c r="L55" s="15"/>
      <c r="M55" s="15"/>
      <c r="N55" s="15"/>
      <c r="O55" s="15"/>
      <c r="P55" s="21"/>
    </row>
    <row r="56" spans="1:16">
      <c r="A56" s="53"/>
    </row>
    <row r="57" spans="1:16">
      <c r="A57" s="53"/>
    </row>
    <row r="58" spans="1:16">
      <c r="A58" s="53"/>
    </row>
    <row r="59" spans="1:16">
      <c r="A59" s="53"/>
    </row>
    <row r="60" spans="1:16">
      <c r="A60" s="53"/>
    </row>
    <row r="103" spans="3:11">
      <c r="C103">
        <f>[1]!'3443.125'</f>
        <v>2385</v>
      </c>
      <c r="F103">
        <f>[1]!'3443.113'</f>
        <v>4</v>
      </c>
      <c r="G103">
        <f>[1]!'3443.101'</f>
        <v>2385</v>
      </c>
      <c r="H103">
        <f>[1]!'3443.102'</f>
        <v>2390</v>
      </c>
      <c r="I103">
        <f>[1]!'3443.114'</f>
        <v>10</v>
      </c>
      <c r="J103">
        <f>[1]!'3443.413'</f>
        <v>79</v>
      </c>
      <c r="K103">
        <f>[1]!'3443.404'</f>
        <v>1913</v>
      </c>
    </row>
    <row r="104" spans="3:11">
      <c r="C104">
        <f>[2]!'WRWF&amp;.125'</f>
        <v>2395</v>
      </c>
      <c r="F104">
        <f>[2]!'WRWF&amp;.113'</f>
        <v>7</v>
      </c>
      <c r="G104">
        <f>[2]!'WRWF&amp;.101'</f>
        <v>2395</v>
      </c>
      <c r="H104">
        <f>[2]!'WRWF&amp;.102'</f>
        <v>2400</v>
      </c>
      <c r="I104">
        <f>[2]!'WRWF&amp;.114'</f>
        <v>4</v>
      </c>
      <c r="J104">
        <f>[2]!'WRWF&amp;.413'</f>
        <v>5</v>
      </c>
      <c r="K104">
        <f>[2]!'WRWF&amp;.404'</f>
        <v>2329</v>
      </c>
    </row>
    <row r="105" spans="3:11">
      <c r="C105">
        <f>[2]!'WRWF@.125'</f>
        <v>2405</v>
      </c>
      <c r="F105">
        <f>[2]!'WRWF@.113'</f>
        <v>2</v>
      </c>
      <c r="G105">
        <f>[2]!'WRWF@.101'</f>
        <v>2400</v>
      </c>
      <c r="H105">
        <f>[2]!'WRWF@.102'</f>
        <v>2425</v>
      </c>
      <c r="I105">
        <f>[2]!'WRWF@.114'</f>
        <v>1</v>
      </c>
      <c r="J105">
        <f>[2]!'WRWF@.413'</f>
        <v>1</v>
      </c>
      <c r="K105">
        <f>[2]!'WRWF@.404'</f>
        <v>162</v>
      </c>
    </row>
    <row r="106" spans="3:11">
      <c r="C106" t="str">
        <f>[3]!'WRWFU4/V4.125'</f>
        <v>-</v>
      </c>
      <c r="F106" t="str">
        <f>[3]!'WRWFU4/V4.113'</f>
        <v>-</v>
      </c>
      <c r="G106" t="str">
        <f>[3]!'WRWFU4/V4.101'</f>
        <v>-</v>
      </c>
      <c r="H106" t="str">
        <f>[3]!'WRWFU4/V4.102'</f>
        <v>-</v>
      </c>
      <c r="I106" t="str">
        <f>[3]!'WRWFU4/V4.114'</f>
        <v>-</v>
      </c>
      <c r="J106" t="str">
        <f>[3]!'WRWFU4/V4.413'</f>
        <v>-</v>
      </c>
      <c r="K106" t="str">
        <f>[3]!'WRWFU4/V4.404'</f>
        <v>-</v>
      </c>
    </row>
    <row r="107" spans="3:11">
      <c r="C107">
        <f>[2]!'WJBF&amp;.125'</f>
        <v>2390</v>
      </c>
      <c r="F107">
        <f>[2]!'WJBF&amp;.113'</f>
        <v>1</v>
      </c>
      <c r="G107">
        <f>[2]!'WJBF&amp;.101'</f>
        <v>2385</v>
      </c>
      <c r="H107">
        <f>[2]!'WJBF&amp;.102'</f>
        <v>2400</v>
      </c>
      <c r="I107">
        <f>[2]!'WJBF&amp;.114'</f>
        <v>1</v>
      </c>
      <c r="J107">
        <f>[2]!'WJBF&amp;.413'</f>
        <v>2</v>
      </c>
      <c r="K107">
        <f>[2]!'WJBF&amp;.404'</f>
        <v>129</v>
      </c>
    </row>
    <row r="108" spans="3:11">
      <c r="C108">
        <f>[2]!'WJBF@.125'</f>
        <v>2385</v>
      </c>
      <c r="F108">
        <f>[2]!'WJBF@.113'</f>
        <v>1</v>
      </c>
      <c r="G108">
        <f>[2]!'WJBF@.101'</f>
        <v>2380</v>
      </c>
      <c r="H108">
        <f>[2]!'WJBF@.102'</f>
        <v>2415</v>
      </c>
      <c r="I108">
        <f>[2]!'WJBF@.114'</f>
        <v>1</v>
      </c>
      <c r="J108">
        <f>[2]!'WJBF@.413'</f>
        <v>1</v>
      </c>
      <c r="K108">
        <f>[2]!'WJBF@.404'</f>
        <v>1</v>
      </c>
    </row>
    <row r="109" spans="3:11">
      <c r="C109" t="str">
        <f>[3]!'WJBFU4/V4.125'</f>
        <v>-</v>
      </c>
      <c r="F109" t="str">
        <f>[3]!'WJBFU4/V4.113'</f>
        <v>-</v>
      </c>
      <c r="G109" t="str">
        <f>[3]!'WJBFU4/V4.101'</f>
        <v>-</v>
      </c>
      <c r="H109" t="str">
        <f>[3]!'WJBFU4/V4.102'</f>
        <v>-</v>
      </c>
      <c r="I109" t="str">
        <f>[3]!'WJBFU4/V4.114'</f>
        <v>-</v>
      </c>
      <c r="J109" t="str">
        <f>[3]!'WJBFU4/V4.413'</f>
        <v>-</v>
      </c>
      <c r="K109" t="str">
        <f>[3]!'WJBFU4/V4.404'</f>
        <v>-</v>
      </c>
    </row>
    <row r="110" spans="3:11">
      <c r="C110">
        <f>[1]!'3661.125'</f>
        <v>3310</v>
      </c>
      <c r="F110">
        <f>[1]!'3661.113'</f>
        <v>1</v>
      </c>
      <c r="G110">
        <f>[1]!'3661.101'</f>
        <v>3305</v>
      </c>
      <c r="H110">
        <f>[1]!'3661.102'</f>
        <v>3310</v>
      </c>
      <c r="I110">
        <f>[1]!'3661.114'</f>
        <v>14</v>
      </c>
      <c r="J110">
        <f>[1]!'3661.413'</f>
        <v>87</v>
      </c>
      <c r="K110">
        <f>[1]!'3661.404'</f>
        <v>1073</v>
      </c>
    </row>
    <row r="111" spans="3:11">
      <c r="C111">
        <f>[1]!'2454.125'</f>
        <v>1765</v>
      </c>
      <c r="F111">
        <f>[1]!'2454.113'</f>
        <v>94</v>
      </c>
      <c r="G111">
        <f>[1]!'2454.101'</f>
        <v>1760</v>
      </c>
      <c r="H111">
        <f>[1]!'2454.102'</f>
        <v>1765</v>
      </c>
      <c r="I111">
        <f>[1]!'2454.114'</f>
        <v>15</v>
      </c>
      <c r="J111">
        <f>[1]!'2454.413'</f>
        <v>398</v>
      </c>
      <c r="K111">
        <f>[1]!'2454.404'</f>
        <v>4411</v>
      </c>
    </row>
    <row r="112" spans="3:11">
      <c r="C112">
        <f>[2]!'WPUF&amp;.125'</f>
        <v>1770</v>
      </c>
      <c r="F112">
        <f>[2]!'WPUF&amp;.113'</f>
        <v>4</v>
      </c>
      <c r="G112">
        <f>[2]!'WPUF&amp;.101'</f>
        <v>1765</v>
      </c>
      <c r="H112">
        <f>[2]!'WPUF&amp;.102'</f>
        <v>1770</v>
      </c>
      <c r="I112">
        <f>[2]!'WPUF&amp;.114'</f>
        <v>9</v>
      </c>
      <c r="J112">
        <f>[2]!'WPUF&amp;.413'</f>
        <v>1</v>
      </c>
      <c r="K112">
        <f>[2]!'WPUF&amp;.404'</f>
        <v>1893</v>
      </c>
    </row>
    <row r="113" spans="3:11">
      <c r="C113">
        <f>[2]!'WPUF@.125'</f>
        <v>1770</v>
      </c>
      <c r="F113">
        <f>[2]!'WPUF@.113'</f>
        <v>10</v>
      </c>
      <c r="G113">
        <f>[2]!'WPUF@.101'</f>
        <v>1770</v>
      </c>
      <c r="H113">
        <f>[2]!'WPUF@.102'</f>
        <v>1775</v>
      </c>
      <c r="I113">
        <f>[2]!'WPUF@.114'</f>
        <v>9</v>
      </c>
      <c r="J113">
        <f>[2]!'WPUF@.413'</f>
        <v>1</v>
      </c>
      <c r="K113">
        <f>[2]!'WPUF@.404'</f>
        <v>277</v>
      </c>
    </row>
    <row r="114" spans="3:11">
      <c r="C114" t="str">
        <f>[3]!'WPUFU4/V4.125'</f>
        <v>-</v>
      </c>
      <c r="F114" t="str">
        <f>[3]!'WPUFU4/V4.113'</f>
        <v>-</v>
      </c>
      <c r="G114" t="str">
        <f>[3]!'WPUFU4/V4.101'</f>
        <v>-</v>
      </c>
      <c r="H114" t="str">
        <f>[3]!'WPUFU4/V4.102'</f>
        <v>-</v>
      </c>
      <c r="I114" t="str">
        <f>[3]!'WPUFU4/V4.114'</f>
        <v>-</v>
      </c>
      <c r="J114" t="str">
        <f>[3]!'WPUFU4/V4.413'</f>
        <v>-</v>
      </c>
      <c r="K114" t="str">
        <f>[3]!'WPUFU4/V4.404'</f>
        <v>-</v>
      </c>
    </row>
    <row r="115" spans="3:11">
      <c r="C115">
        <f>[2]!'WDVF&amp;.125'</f>
        <v>1770</v>
      </c>
      <c r="F115">
        <f>[2]!'WDVF&amp;.113'</f>
        <v>2</v>
      </c>
      <c r="G115">
        <f>[2]!'WDVF&amp;.101'</f>
        <v>1765</v>
      </c>
      <c r="H115">
        <f>[2]!'WDVF&amp;.102'</f>
        <v>1775</v>
      </c>
      <c r="I115">
        <f>[2]!'WDVF&amp;.114'</f>
        <v>5</v>
      </c>
      <c r="J115">
        <f>[2]!'WDVF&amp;.413'</f>
        <v>1</v>
      </c>
      <c r="K115">
        <f>[2]!'WDVF&amp;.404'</f>
        <v>537</v>
      </c>
    </row>
    <row r="116" spans="3:11">
      <c r="C116">
        <f>[2]!'WDVF@.125'</f>
        <v>1775</v>
      </c>
      <c r="F116">
        <f>[2]!'WDVF@.113'</f>
        <v>1</v>
      </c>
      <c r="G116">
        <f>[2]!'WDVF@.101'</f>
        <v>1770</v>
      </c>
      <c r="H116">
        <f>[2]!'WDVF@.102'</f>
        <v>1775</v>
      </c>
      <c r="I116">
        <f>[2]!'WDVF@.114'</f>
        <v>2</v>
      </c>
      <c r="J116">
        <f>[2]!'WDVF@.413'</f>
        <v>1</v>
      </c>
      <c r="K116">
        <f>[2]!'WDVF@.404'</f>
        <v>42</v>
      </c>
    </row>
    <row r="117" spans="3:11">
      <c r="C117" t="str">
        <f>[3]!'WDVFU4/V4.125'</f>
        <v>-</v>
      </c>
      <c r="F117" t="str">
        <f>[3]!'WDVFU4/V4.113'</f>
        <v>-</v>
      </c>
      <c r="G117" t="str">
        <f>[3]!'WDVFU4/V4.101'</f>
        <v>-</v>
      </c>
      <c r="H117" t="str">
        <f>[3]!'WDVFU4/V4.102'</f>
        <v>-</v>
      </c>
      <c r="I117" t="str">
        <f>[3]!'WDVFU4/V4.114'</f>
        <v>-</v>
      </c>
      <c r="J117" t="str">
        <f>[3]!'WDVFU4/V4.413'</f>
        <v>-</v>
      </c>
      <c r="K117" t="str">
        <f>[3]!'WDVFU4/V4.404'</f>
        <v>-</v>
      </c>
    </row>
    <row r="118" spans="3:11">
      <c r="C118">
        <f>[1]!'2330.125'</f>
        <v>1890</v>
      </c>
      <c r="F118">
        <f>[1]!'2330.113'</f>
        <v>1119</v>
      </c>
      <c r="G118">
        <f>[1]!'2330.101'</f>
        <v>1885</v>
      </c>
      <c r="H118">
        <f>[1]!'2330.102'</f>
        <v>1890</v>
      </c>
      <c r="I118">
        <f>[1]!'2330.114'</f>
        <v>351</v>
      </c>
      <c r="J118">
        <f>[1]!'2330.413'</f>
        <v>4195</v>
      </c>
      <c r="K118">
        <f>[1]!'2330.404'</f>
        <v>29992</v>
      </c>
    </row>
    <row r="119" spans="3:11">
      <c r="C119">
        <f>[2]!'WQFF&amp;.125'</f>
        <v>1900</v>
      </c>
      <c r="F119">
        <f>[2]!'WQFF&amp;.113'</f>
        <v>55</v>
      </c>
      <c r="G119">
        <f>[2]!'WQFF&amp;.101'</f>
        <v>1900</v>
      </c>
      <c r="H119">
        <f>[2]!'WQFF&amp;.102'</f>
        <v>1905</v>
      </c>
      <c r="I119">
        <f>[2]!'WQFF&amp;.114'</f>
        <v>39</v>
      </c>
      <c r="J119">
        <f>[2]!'WQFF&amp;.413'</f>
        <v>1</v>
      </c>
      <c r="K119">
        <f>[2]!'WQFF&amp;.404'</f>
        <v>27492</v>
      </c>
    </row>
    <row r="120" spans="3:11">
      <c r="C120">
        <f>[2]!'WQFF@.125'</f>
        <v>1910</v>
      </c>
      <c r="F120">
        <f>[2]!'WQFF@.113'</f>
        <v>62</v>
      </c>
      <c r="G120">
        <f>[2]!'WQFF@.101'</f>
        <v>1905</v>
      </c>
      <c r="H120">
        <f>[2]!'WQFF@.102'</f>
        <v>1915</v>
      </c>
      <c r="I120">
        <f>[2]!'WQFF@.114'</f>
        <v>58</v>
      </c>
      <c r="J120">
        <f>[2]!'WQFF@.413'</f>
        <v>1</v>
      </c>
      <c r="K120">
        <f>[2]!'WQFF@.404'</f>
        <v>3917</v>
      </c>
    </row>
    <row r="121" spans="3:11">
      <c r="C121" t="str">
        <f>[3]!'WQFFU4/V4.125'</f>
        <v>-</v>
      </c>
      <c r="F121" t="str">
        <f>[3]!'WQFFU4/V4.113'</f>
        <v>-</v>
      </c>
      <c r="G121" t="str">
        <f>[3]!'WQFFU4/V4.101'</f>
        <v>-</v>
      </c>
      <c r="H121" t="str">
        <f>[3]!'WQFFU4/V4.102'</f>
        <v>-</v>
      </c>
      <c r="I121" t="str">
        <f>[3]!'WQFFU4/V4.114'</f>
        <v>-</v>
      </c>
      <c r="J121" t="str">
        <f>[3]!'WQFFU4/V4.413'</f>
        <v>-</v>
      </c>
      <c r="K121" t="str">
        <f>[3]!'WQFFU4/V4.404'</f>
        <v>-</v>
      </c>
    </row>
    <row r="122" spans="3:11">
      <c r="C122">
        <f>[2]!'WCDF&amp;.125'</f>
        <v>1900</v>
      </c>
      <c r="F122">
        <f>[2]!'WCDF&amp;.113'</f>
        <v>3</v>
      </c>
      <c r="G122">
        <f>[2]!'WCDF&amp;.101'</f>
        <v>1900</v>
      </c>
      <c r="H122">
        <f>[2]!'WCDF&amp;.102'</f>
        <v>1905</v>
      </c>
      <c r="I122">
        <f>[2]!'WCDF&amp;.114'</f>
        <v>57</v>
      </c>
      <c r="J122">
        <f>[2]!'WCDF&amp;.413'</f>
        <v>1</v>
      </c>
      <c r="K122">
        <f>[2]!'WCDF&amp;.404'</f>
        <v>5948</v>
      </c>
    </row>
    <row r="123" spans="3:11">
      <c r="C123">
        <f>[2]!'WCDF@.125'</f>
        <v>1910</v>
      </c>
      <c r="F123">
        <f>[2]!'WCDF@.113'</f>
        <v>3</v>
      </c>
      <c r="G123">
        <f>[2]!'WCDF@.101'</f>
        <v>1905</v>
      </c>
      <c r="H123">
        <f>[2]!'WCDF@.102'</f>
        <v>1910</v>
      </c>
      <c r="I123">
        <f>[2]!'WCDF@.114'</f>
        <v>6</v>
      </c>
      <c r="J123">
        <f>[2]!'WCDF@.413'</f>
        <v>1</v>
      </c>
      <c r="K123">
        <f>[2]!'WCDF@.404'</f>
        <v>973</v>
      </c>
    </row>
    <row r="124" spans="3:11">
      <c r="C124" t="str">
        <f>[3]!'WCDFU4/V4.125'</f>
        <v>-</v>
      </c>
      <c r="F124" t="str">
        <f>[3]!'WCDFU4/V4.113'</f>
        <v>-</v>
      </c>
      <c r="G124" t="str">
        <f>[3]!'WCDFU4/V4.101'</f>
        <v>-</v>
      </c>
      <c r="H124" t="str">
        <f>[3]!'WCDFU4/V4.102'</f>
        <v>-</v>
      </c>
      <c r="I124" t="str">
        <f>[3]!'WCDFU4/V4.114'</f>
        <v>-</v>
      </c>
      <c r="J124" t="str">
        <f>[3]!'WCDFU4/V4.413'</f>
        <v>-</v>
      </c>
      <c r="K124" t="str">
        <f>[3]!'WCDFU4/V4.404'</f>
        <v>-</v>
      </c>
    </row>
    <row r="125" spans="3:11">
      <c r="C125">
        <f>[2]!'WTX&amp;.125'</f>
        <v>33704</v>
      </c>
      <c r="F125">
        <f>[2]!'WTX&amp;.113'</f>
        <v>1</v>
      </c>
      <c r="G125">
        <f>[2]!'WTX&amp;.101'</f>
        <v>33705</v>
      </c>
      <c r="H125">
        <f>[2]!'WTX&amp;.102'</f>
        <v>33709</v>
      </c>
      <c r="I125">
        <f>[2]!'WTX&amp;.114'</f>
        <v>2</v>
      </c>
      <c r="J125">
        <f>[2]!'WTX&amp;.413'</f>
        <v>1</v>
      </c>
      <c r="K125">
        <f>[2]!'WTX&amp;.404'</f>
        <v>214672</v>
      </c>
    </row>
    <row r="126" spans="3:11">
      <c r="C126">
        <f>[2]!'WZE&amp;.125'</f>
        <v>2081.1999999999998</v>
      </c>
      <c r="F126">
        <f>[2]!'WZE&amp;.113'</f>
        <v>1</v>
      </c>
      <c r="G126">
        <f>[2]!'WZE&amp;.101'</f>
        <v>2081.0500000000002</v>
      </c>
      <c r="H126">
        <f>[2]!'WZE&amp;.102'</f>
        <v>2082.85</v>
      </c>
      <c r="I126">
        <f>[2]!'WZE&amp;.114'</f>
        <v>3</v>
      </c>
      <c r="J126">
        <f>[2]!'WZE&amp;.413'</f>
        <v>2</v>
      </c>
      <c r="K126">
        <f>[2]!'WZE&amp;.404'</f>
        <v>3349</v>
      </c>
    </row>
    <row r="127" spans="3:11">
      <c r="C127">
        <f>[1]!'#001.125'</f>
        <v>33599.54</v>
      </c>
      <c r="F127" t="str">
        <f>IF(C25-C27&gt;=0,"正價差= ","逆價差= ") &amp; TEXT(C25-C27,"##")</f>
        <v>正價差= 104</v>
      </c>
      <c r="K127">
        <f>[1]!'#001.424'</f>
        <v>6311</v>
      </c>
    </row>
  </sheetData>
  <mergeCells count="2">
    <mergeCell ref="C1:F1"/>
    <mergeCell ref="R2:T2"/>
  </mergeCells>
  <phoneticPr fontId="3" type="noConversion"/>
  <conditionalFormatting sqref="D3:D55">
    <cfRule type="iconSet" priority="2">
      <iconSet reverse="1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  <ignoredErrors>
    <ignoredError sqref="C14" formula="1"/>
  </ignoredErrors>
  <drawing r:id="rId2"/>
  <legacyDrawing r:id="rId3"/>
  <controls>
    <control shapeId="2049" r:id="rId4" name="cmdRecOrNo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ED15"/>
  <sheetViews>
    <sheetView zoomScale="85" zoomScaleNormal="85" workbookViewId="0">
      <pane ySplit="2" topLeftCell="A3" activePane="bottomLeft" state="frozen"/>
      <selection activeCell="E24" sqref="E24"/>
      <selection pane="bottomLeft" activeCell="A2" sqref="A2"/>
    </sheetView>
  </sheetViews>
  <sheetFormatPr defaultRowHeight="16.5"/>
  <cols>
    <col min="1" max="1" width="27.5" bestFit="1" customWidth="1"/>
    <col min="2" max="2" width="10.875" customWidth="1"/>
    <col min="3" max="3" width="10.875" bestFit="1" customWidth="1"/>
    <col min="4" max="4" width="10.875" customWidth="1"/>
    <col min="5" max="5" width="9.25" bestFit="1" customWidth="1"/>
  </cols>
  <sheetData>
    <row r="1" spans="1:134">
      <c r="A1" s="214" t="s">
        <v>2665</v>
      </c>
      <c r="B1" s="214"/>
      <c r="C1" s="52">
        <v>15</v>
      </c>
      <c r="D1" t="s">
        <v>2702</v>
      </c>
      <c r="F1" t="s">
        <v>585</v>
      </c>
      <c r="H1" t="s">
        <v>2679</v>
      </c>
      <c r="I1">
        <v>5</v>
      </c>
      <c r="K1" s="202" t="s">
        <v>2707</v>
      </c>
      <c r="L1" t="s">
        <v>2680</v>
      </c>
      <c r="M1">
        <v>3</v>
      </c>
      <c r="P1" s="205" t="s">
        <v>2727</v>
      </c>
      <c r="R1" t="s">
        <v>2679</v>
      </c>
      <c r="S1">
        <v>3</v>
      </c>
      <c r="U1" s="205" t="s">
        <v>2728</v>
      </c>
      <c r="V1" t="s">
        <v>2680</v>
      </c>
      <c r="W1">
        <v>3</v>
      </c>
      <c r="Z1" s="205" t="s">
        <v>2736</v>
      </c>
      <c r="AB1" t="s">
        <v>2672</v>
      </c>
      <c r="AC1">
        <v>5</v>
      </c>
      <c r="AF1" t="s">
        <v>2671</v>
      </c>
      <c r="AG1">
        <v>3</v>
      </c>
      <c r="AJ1" s="205" t="s">
        <v>2729</v>
      </c>
      <c r="AL1" t="s">
        <v>2672</v>
      </c>
      <c r="AM1">
        <v>10</v>
      </c>
      <c r="AP1" t="s">
        <v>2671</v>
      </c>
      <c r="AQ1">
        <v>3</v>
      </c>
      <c r="AT1" s="205" t="s">
        <v>2730</v>
      </c>
      <c r="AV1" t="s">
        <v>2672</v>
      </c>
      <c r="AW1">
        <v>5</v>
      </c>
      <c r="AZ1" t="s">
        <v>2671</v>
      </c>
      <c r="BA1">
        <v>3</v>
      </c>
      <c r="BD1" t="s">
        <v>316</v>
      </c>
      <c r="BF1" t="s">
        <v>2679</v>
      </c>
      <c r="BG1">
        <v>10</v>
      </c>
      <c r="BI1" s="198" t="s">
        <v>2711</v>
      </c>
      <c r="BJ1" t="s">
        <v>2680</v>
      </c>
      <c r="BK1">
        <v>3</v>
      </c>
      <c r="BN1" t="s">
        <v>2701</v>
      </c>
      <c r="BP1" t="s">
        <v>2679</v>
      </c>
      <c r="BQ1">
        <v>20</v>
      </c>
      <c r="BS1" s="198" t="s">
        <v>2706</v>
      </c>
      <c r="BT1" t="s">
        <v>2680</v>
      </c>
      <c r="BU1">
        <v>3</v>
      </c>
      <c r="BX1" s="205" t="s">
        <v>2731</v>
      </c>
      <c r="BZ1" t="s">
        <v>2679</v>
      </c>
      <c r="CA1">
        <v>5</v>
      </c>
      <c r="CD1" t="s">
        <v>2680</v>
      </c>
      <c r="CE1">
        <v>3</v>
      </c>
      <c r="CH1" s="205" t="s">
        <v>2732</v>
      </c>
      <c r="CJ1" t="s">
        <v>2672</v>
      </c>
      <c r="CK1">
        <v>5</v>
      </c>
      <c r="CN1" t="s">
        <v>2671</v>
      </c>
      <c r="CO1">
        <v>3</v>
      </c>
      <c r="CR1" s="205" t="s">
        <v>2733</v>
      </c>
      <c r="CT1" t="s">
        <v>2672</v>
      </c>
      <c r="CU1">
        <v>5</v>
      </c>
      <c r="CX1" t="s">
        <v>2671</v>
      </c>
      <c r="CY1">
        <v>3</v>
      </c>
      <c r="DB1" s="205" t="s">
        <v>2734</v>
      </c>
      <c r="DD1" t="s">
        <v>2672</v>
      </c>
      <c r="DE1">
        <v>5</v>
      </c>
      <c r="DH1" t="s">
        <v>2671</v>
      </c>
      <c r="DI1">
        <v>3</v>
      </c>
      <c r="DL1" s="205" t="s">
        <v>2735</v>
      </c>
      <c r="DN1" t="s">
        <v>2672</v>
      </c>
      <c r="DO1">
        <v>3</v>
      </c>
      <c r="DR1" t="s">
        <v>2671</v>
      </c>
      <c r="DS1">
        <v>3</v>
      </c>
      <c r="DV1" s="203" t="s">
        <v>2721</v>
      </c>
      <c r="DX1" s="203" t="s">
        <v>2679</v>
      </c>
      <c r="DY1">
        <v>5</v>
      </c>
      <c r="EA1" s="203"/>
      <c r="EB1" s="203" t="s">
        <v>2680</v>
      </c>
      <c r="EC1">
        <v>3</v>
      </c>
    </row>
    <row r="2" spans="1:134">
      <c r="A2" s="15" t="s">
        <v>2666</v>
      </c>
      <c r="B2" s="15" t="s">
        <v>2667</v>
      </c>
      <c r="C2" s="15" t="s">
        <v>2668</v>
      </c>
      <c r="D2" s="15"/>
      <c r="F2" t="s">
        <v>111</v>
      </c>
      <c r="G2" t="s">
        <v>2681</v>
      </c>
      <c r="H2" t="s">
        <v>76</v>
      </c>
      <c r="I2" t="s">
        <v>8</v>
      </c>
      <c r="J2" t="s">
        <v>79</v>
      </c>
      <c r="K2" t="s">
        <v>80</v>
      </c>
      <c r="L2" t="s">
        <v>6</v>
      </c>
      <c r="M2" t="s">
        <v>7</v>
      </c>
      <c r="N2" t="s">
        <v>2682</v>
      </c>
      <c r="P2" t="s">
        <v>111</v>
      </c>
      <c r="Q2" t="s">
        <v>2681</v>
      </c>
      <c r="R2" t="s">
        <v>76</v>
      </c>
      <c r="S2" t="s">
        <v>8</v>
      </c>
      <c r="T2" t="s">
        <v>79</v>
      </c>
      <c r="U2" t="s">
        <v>80</v>
      </c>
      <c r="V2" t="s">
        <v>6</v>
      </c>
      <c r="W2" t="s">
        <v>7</v>
      </c>
      <c r="X2" t="s">
        <v>2682</v>
      </c>
      <c r="Z2" t="s">
        <v>2673</v>
      </c>
      <c r="AA2" t="s">
        <v>2674</v>
      </c>
      <c r="AB2" t="s">
        <v>1</v>
      </c>
      <c r="AC2" t="s">
        <v>2675</v>
      </c>
      <c r="AD2" t="s">
        <v>4</v>
      </c>
      <c r="AE2" t="s">
        <v>5</v>
      </c>
      <c r="AF2" t="s">
        <v>2676</v>
      </c>
      <c r="AG2" t="s">
        <v>2677</v>
      </c>
      <c r="AH2" t="s">
        <v>2678</v>
      </c>
      <c r="AJ2" s="15" t="s">
        <v>2673</v>
      </c>
      <c r="AK2" t="s">
        <v>2674</v>
      </c>
      <c r="AL2" t="s">
        <v>1</v>
      </c>
      <c r="AM2" t="s">
        <v>2675</v>
      </c>
      <c r="AN2" t="s">
        <v>4</v>
      </c>
      <c r="AO2" t="s">
        <v>5</v>
      </c>
      <c r="AP2" t="s">
        <v>2676</v>
      </c>
      <c r="AQ2" t="s">
        <v>2677</v>
      </c>
      <c r="AR2" t="s">
        <v>2678</v>
      </c>
      <c r="AT2" t="s">
        <v>2673</v>
      </c>
      <c r="AU2" t="s">
        <v>2674</v>
      </c>
      <c r="AV2" t="s">
        <v>1</v>
      </c>
      <c r="AW2" t="s">
        <v>2675</v>
      </c>
      <c r="AX2" t="s">
        <v>4</v>
      </c>
      <c r="AY2" t="s">
        <v>5</v>
      </c>
      <c r="AZ2" t="s">
        <v>2676</v>
      </c>
      <c r="BA2" t="s">
        <v>2677</v>
      </c>
      <c r="BB2" t="s">
        <v>2678</v>
      </c>
      <c r="BD2" t="s">
        <v>111</v>
      </c>
      <c r="BE2" t="s">
        <v>2681</v>
      </c>
      <c r="BF2" t="s">
        <v>76</v>
      </c>
      <c r="BG2" t="s">
        <v>8</v>
      </c>
      <c r="BH2" t="s">
        <v>79</v>
      </c>
      <c r="BI2" t="s">
        <v>80</v>
      </c>
      <c r="BJ2" t="s">
        <v>6</v>
      </c>
      <c r="BK2" t="s">
        <v>7</v>
      </c>
      <c r="BL2" t="s">
        <v>2682</v>
      </c>
      <c r="BN2" t="s">
        <v>111</v>
      </c>
      <c r="BO2" t="s">
        <v>2681</v>
      </c>
      <c r="BP2" t="s">
        <v>76</v>
      </c>
      <c r="BQ2" t="s">
        <v>8</v>
      </c>
      <c r="BR2" t="s">
        <v>79</v>
      </c>
      <c r="BS2" t="s">
        <v>80</v>
      </c>
      <c r="BT2" t="s">
        <v>6</v>
      </c>
      <c r="BU2" t="s">
        <v>7</v>
      </c>
      <c r="BV2" t="s">
        <v>2682</v>
      </c>
      <c r="BX2" t="s">
        <v>111</v>
      </c>
      <c r="BY2" t="s">
        <v>2681</v>
      </c>
      <c r="BZ2" t="s">
        <v>76</v>
      </c>
      <c r="CA2" t="s">
        <v>8</v>
      </c>
      <c r="CB2" t="s">
        <v>79</v>
      </c>
      <c r="CC2" t="s">
        <v>80</v>
      </c>
      <c r="CD2" t="s">
        <v>6</v>
      </c>
      <c r="CE2" t="s">
        <v>7</v>
      </c>
      <c r="CF2" t="s">
        <v>2682</v>
      </c>
      <c r="CH2" t="s">
        <v>2673</v>
      </c>
      <c r="CI2" t="s">
        <v>2674</v>
      </c>
      <c r="CJ2" t="s">
        <v>1</v>
      </c>
      <c r="CK2" t="s">
        <v>2675</v>
      </c>
      <c r="CL2" t="s">
        <v>4</v>
      </c>
      <c r="CM2" t="s">
        <v>5</v>
      </c>
      <c r="CN2" t="s">
        <v>2676</v>
      </c>
      <c r="CO2" t="s">
        <v>2677</v>
      </c>
      <c r="CP2" t="s">
        <v>2678</v>
      </c>
      <c r="CR2" t="s">
        <v>2673</v>
      </c>
      <c r="CS2" t="s">
        <v>2674</v>
      </c>
      <c r="CT2" t="s">
        <v>1</v>
      </c>
      <c r="CU2" t="s">
        <v>2675</v>
      </c>
      <c r="CV2" t="s">
        <v>4</v>
      </c>
      <c r="CW2" t="s">
        <v>5</v>
      </c>
      <c r="CX2" t="s">
        <v>2676</v>
      </c>
      <c r="CY2" t="s">
        <v>2677</v>
      </c>
      <c r="CZ2" t="s">
        <v>2678</v>
      </c>
      <c r="DB2" t="s">
        <v>2673</v>
      </c>
      <c r="DC2" t="s">
        <v>2674</v>
      </c>
      <c r="DD2" t="s">
        <v>1</v>
      </c>
      <c r="DE2" t="s">
        <v>2675</v>
      </c>
      <c r="DF2" t="s">
        <v>4</v>
      </c>
      <c r="DG2" t="s">
        <v>5</v>
      </c>
      <c r="DH2" t="s">
        <v>2676</v>
      </c>
      <c r="DI2" t="s">
        <v>2677</v>
      </c>
      <c r="DJ2" t="s">
        <v>2678</v>
      </c>
      <c r="DL2" t="s">
        <v>2673</v>
      </c>
      <c r="DM2" t="s">
        <v>2674</v>
      </c>
      <c r="DN2" t="s">
        <v>1</v>
      </c>
      <c r="DO2" t="s">
        <v>2675</v>
      </c>
      <c r="DP2" t="s">
        <v>4</v>
      </c>
      <c r="DQ2" t="s">
        <v>5</v>
      </c>
      <c r="DR2" t="s">
        <v>2676</v>
      </c>
      <c r="DS2" t="s">
        <v>2677</v>
      </c>
      <c r="DT2" t="s">
        <v>2678</v>
      </c>
      <c r="DV2" s="203" t="s">
        <v>111</v>
      </c>
      <c r="DW2" s="203" t="s">
        <v>2681</v>
      </c>
      <c r="DX2" s="203" t="s">
        <v>76</v>
      </c>
      <c r="DY2" s="203" t="s">
        <v>8</v>
      </c>
      <c r="DZ2" s="203" t="s">
        <v>79</v>
      </c>
      <c r="EA2" s="203" t="s">
        <v>80</v>
      </c>
      <c r="EB2" s="203" t="s">
        <v>6</v>
      </c>
      <c r="EC2" s="203" t="s">
        <v>7</v>
      </c>
      <c r="ED2" s="203" t="s">
        <v>2682</v>
      </c>
    </row>
    <row r="3" spans="1:134">
      <c r="A3" t="s">
        <v>2670</v>
      </c>
      <c r="B3">
        <v>6</v>
      </c>
      <c r="C3" t="str">
        <f>[4]!NtoC(6)</f>
        <v>F</v>
      </c>
    </row>
    <row r="4" spans="1:134">
      <c r="A4" s="205" t="s">
        <v>2727</v>
      </c>
      <c r="B4">
        <v>16</v>
      </c>
      <c r="C4" t="str">
        <f>[4]!NtoC(16)</f>
        <v>P</v>
      </c>
      <c r="Z4" s="209" t="s">
        <v>2737</v>
      </c>
      <c r="AJ4" s="209" t="s">
        <v>2737</v>
      </c>
      <c r="AT4" s="209" t="s">
        <v>2737</v>
      </c>
      <c r="DV4" s="209" t="s">
        <v>2737</v>
      </c>
    </row>
    <row r="5" spans="1:134">
      <c r="A5" s="205" t="s">
        <v>2736</v>
      </c>
      <c r="B5">
        <v>26</v>
      </c>
      <c r="C5" t="str">
        <f>[4]!NtoC(26)</f>
        <v>Z</v>
      </c>
    </row>
    <row r="6" spans="1:134">
      <c r="A6" s="205" t="s">
        <v>2735</v>
      </c>
      <c r="B6">
        <v>116</v>
      </c>
      <c r="C6" t="str">
        <f>[4]!NtoC(116)</f>
        <v>DL</v>
      </c>
    </row>
    <row r="7" spans="1:134">
      <c r="A7" t="s">
        <v>316</v>
      </c>
      <c r="B7">
        <v>56</v>
      </c>
      <c r="C7" t="str">
        <f>[4]!NtoC(56)</f>
        <v>BD</v>
      </c>
    </row>
    <row r="8" spans="1:134">
      <c r="A8" s="205" t="s">
        <v>2734</v>
      </c>
      <c r="B8">
        <v>106</v>
      </c>
      <c r="C8" t="str">
        <f>[4]!NtoC(106)</f>
        <v>DB</v>
      </c>
    </row>
    <row r="9" spans="1:134">
      <c r="A9" s="205" t="s">
        <v>2731</v>
      </c>
      <c r="B9">
        <v>76</v>
      </c>
      <c r="C9" t="str">
        <f>[4]!NtoC(76)</f>
        <v>BX</v>
      </c>
    </row>
    <row r="10" spans="1:134">
      <c r="A10" t="s">
        <v>2701</v>
      </c>
      <c r="B10">
        <v>66</v>
      </c>
      <c r="C10" t="str">
        <f>[4]!NtoC(66)</f>
        <v>BN</v>
      </c>
    </row>
    <row r="11" spans="1:134">
      <c r="A11" s="205" t="s">
        <v>2732</v>
      </c>
      <c r="B11">
        <v>86</v>
      </c>
      <c r="C11" t="str">
        <f>[4]!NtoC(86)</f>
        <v>CH</v>
      </c>
    </row>
    <row r="12" spans="1:134">
      <c r="A12" s="205" t="s">
        <v>2733</v>
      </c>
      <c r="B12">
        <v>96</v>
      </c>
      <c r="C12" t="str">
        <f>[4]!NtoC(96)</f>
        <v>CR</v>
      </c>
    </row>
    <row r="13" spans="1:134">
      <c r="A13" s="205" t="s">
        <v>2729</v>
      </c>
      <c r="B13">
        <v>36</v>
      </c>
      <c r="C13" t="str">
        <f>[4]!NtoC(36)</f>
        <v>AJ</v>
      </c>
    </row>
    <row r="14" spans="1:134">
      <c r="A14" s="205" t="s">
        <v>2730</v>
      </c>
      <c r="B14">
        <v>46</v>
      </c>
      <c r="C14" t="str">
        <f>[4]!NtoC(46)</f>
        <v>AT</v>
      </c>
    </row>
    <row r="15" spans="1:134">
      <c r="A15" s="203" t="s">
        <v>2720</v>
      </c>
      <c r="B15">
        <v>126</v>
      </c>
      <c r="C15" t="str">
        <f>[4]!NtoC(126)</f>
        <v>DV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1328"/>
  <sheetViews>
    <sheetView workbookViewId="0">
      <pane ySplit="5" topLeftCell="A6" activePane="bottomLeft" state="frozen"/>
      <selection pane="bottomLeft"/>
    </sheetView>
  </sheetViews>
  <sheetFormatPr defaultRowHeight="16.5"/>
  <cols>
    <col min="4" max="4" width="10.5" bestFit="1" customWidth="1"/>
  </cols>
  <sheetData>
    <row r="1" spans="1:26">
      <c r="A1" s="112" t="s">
        <v>2719</v>
      </c>
      <c r="B1" t="s">
        <v>2691</v>
      </c>
      <c r="C1" s="15">
        <v>666</v>
      </c>
      <c r="D1" s="56" t="s">
        <v>2700</v>
      </c>
      <c r="E1" s="15" t="s">
        <v>2670</v>
      </c>
      <c r="F1" s="15" t="s">
        <v>2694</v>
      </c>
      <c r="G1" s="15" t="s">
        <v>2695</v>
      </c>
      <c r="H1" s="15" t="s">
        <v>2699</v>
      </c>
      <c r="I1" s="15"/>
      <c r="J1" s="15"/>
      <c r="K1" s="15"/>
      <c r="L1" s="15"/>
      <c r="M1" s="15"/>
      <c r="N1" s="15"/>
      <c r="O1" s="15"/>
    </row>
    <row r="2" spans="1:26">
      <c r="A2" s="15" t="s">
        <v>2698</v>
      </c>
      <c r="B2" t="s">
        <v>2692</v>
      </c>
      <c r="C2" s="15">
        <v>133100</v>
      </c>
      <c r="D2" s="56" t="s">
        <v>2686</v>
      </c>
      <c r="E2" s="66">
        <f>[1]!'3443.125'</f>
        <v>2385</v>
      </c>
      <c r="F2" s="66">
        <f>[1]!'2454.125'</f>
        <v>1765</v>
      </c>
      <c r="G2" s="66">
        <f>[1]!'3008.125'</f>
        <v>2380</v>
      </c>
      <c r="H2" s="57">
        <f>[1]!'2330.125'</f>
        <v>1890</v>
      </c>
      <c r="I2" s="57"/>
      <c r="J2" s="57"/>
      <c r="K2" s="57"/>
      <c r="L2" s="57"/>
      <c r="M2" s="57"/>
      <c r="N2" s="57"/>
      <c r="O2" s="57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</row>
    <row r="3" spans="1:26">
      <c r="A3" s="15"/>
      <c r="B3" t="s">
        <v>2690</v>
      </c>
      <c r="C3" s="15">
        <f>[1]!'#001.143'</f>
        <v>133100</v>
      </c>
      <c r="D3" s="56" t="s">
        <v>2688</v>
      </c>
      <c r="E3" s="63">
        <f>[2]!'WJBF&amp;.101'</f>
        <v>2385</v>
      </c>
      <c r="F3" s="63">
        <f>[2]!'WDVF&amp;.101'</f>
        <v>1765</v>
      </c>
      <c r="G3" s="63" t="str">
        <f>[2]!'WIJF&amp;.101'</f>
        <v>-</v>
      </c>
      <c r="H3" s="15">
        <f>[2]!'WCDF&amp;.101'</f>
        <v>1900</v>
      </c>
      <c r="I3" s="15"/>
      <c r="J3" s="15"/>
      <c r="K3" s="15"/>
      <c r="L3" s="15"/>
      <c r="M3" s="15"/>
      <c r="N3" s="15"/>
      <c r="O3" s="15"/>
    </row>
    <row r="4" spans="1:26">
      <c r="B4" s="59" t="s">
        <v>2693</v>
      </c>
      <c r="C4" s="60">
        <f>(C1-6)/661</f>
        <v>0.99848714069591527</v>
      </c>
      <c r="D4" s="56" t="s">
        <v>2689</v>
      </c>
      <c r="E4" s="65">
        <f>[2]!'WJBF&amp;.102'</f>
        <v>2400</v>
      </c>
      <c r="F4" s="65">
        <f>[2]!'WDVF&amp;.102'</f>
        <v>1775</v>
      </c>
      <c r="G4" s="65" t="str">
        <f>[2]!'WIJF&amp;.102'</f>
        <v>-</v>
      </c>
      <c r="H4" s="15">
        <f>[2]!'WCDF&amp;.102'</f>
        <v>1905</v>
      </c>
      <c r="I4" s="15"/>
      <c r="J4" s="15"/>
      <c r="K4" s="15"/>
      <c r="L4" s="15"/>
      <c r="M4" s="15"/>
      <c r="N4" s="15"/>
      <c r="O4" s="15"/>
    </row>
    <row r="5" spans="1:26" ht="20.100000000000001" customHeight="1">
      <c r="D5" s="55" t="s">
        <v>2687</v>
      </c>
      <c r="E5" s="147">
        <v>2374.1452344931922</v>
      </c>
      <c r="F5" s="148">
        <v>1805.2272727272727</v>
      </c>
      <c r="G5" s="148">
        <v>2366.128787878788</v>
      </c>
      <c r="H5" s="147">
        <v>1914.8333333333333</v>
      </c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</row>
    <row r="6" spans="1:26">
      <c r="D6" s="15">
        <v>123000</v>
      </c>
      <c r="E6">
        <v>2395</v>
      </c>
      <c r="F6">
        <v>1815</v>
      </c>
      <c r="G6">
        <v>2370</v>
      </c>
      <c r="H6">
        <v>1920</v>
      </c>
    </row>
    <row r="7" spans="1:26">
      <c r="D7" s="15">
        <v>123005</v>
      </c>
      <c r="E7">
        <v>2395</v>
      </c>
      <c r="F7">
        <v>1810</v>
      </c>
      <c r="G7">
        <v>2370</v>
      </c>
      <c r="H7">
        <v>1920</v>
      </c>
    </row>
    <row r="8" spans="1:26">
      <c r="D8" s="15">
        <v>123010</v>
      </c>
      <c r="E8">
        <v>2395</v>
      </c>
      <c r="F8">
        <v>1815</v>
      </c>
      <c r="G8">
        <v>2370</v>
      </c>
      <c r="H8">
        <v>1920</v>
      </c>
    </row>
    <row r="9" spans="1:26">
      <c r="D9" s="15">
        <v>123015</v>
      </c>
      <c r="E9">
        <v>2395</v>
      </c>
      <c r="F9">
        <v>1810</v>
      </c>
      <c r="G9">
        <v>2370</v>
      </c>
      <c r="H9">
        <v>1920</v>
      </c>
    </row>
    <row r="10" spans="1:26">
      <c r="D10" s="15">
        <v>123020</v>
      </c>
      <c r="E10">
        <v>2395</v>
      </c>
      <c r="F10">
        <v>1810</v>
      </c>
      <c r="G10">
        <v>2370</v>
      </c>
      <c r="H10">
        <v>1920</v>
      </c>
    </row>
    <row r="11" spans="1:26">
      <c r="D11" s="15">
        <v>123025</v>
      </c>
      <c r="E11">
        <v>2395</v>
      </c>
      <c r="F11">
        <v>1810</v>
      </c>
      <c r="G11">
        <v>2370</v>
      </c>
      <c r="H11">
        <v>1920</v>
      </c>
    </row>
    <row r="12" spans="1:26">
      <c r="D12" s="15">
        <v>123030</v>
      </c>
      <c r="E12">
        <v>2395</v>
      </c>
      <c r="F12">
        <v>1810</v>
      </c>
      <c r="G12">
        <v>2370</v>
      </c>
      <c r="H12">
        <v>1915</v>
      </c>
    </row>
    <row r="13" spans="1:26">
      <c r="D13" s="15">
        <v>123035</v>
      </c>
      <c r="E13">
        <v>2395</v>
      </c>
      <c r="F13">
        <v>1810</v>
      </c>
      <c r="G13">
        <v>2370</v>
      </c>
      <c r="H13">
        <v>1920</v>
      </c>
    </row>
    <row r="14" spans="1:26">
      <c r="D14" s="15">
        <v>123040</v>
      </c>
      <c r="E14">
        <v>2390</v>
      </c>
      <c r="F14">
        <v>1810</v>
      </c>
      <c r="G14">
        <v>2370</v>
      </c>
      <c r="H14">
        <v>1920</v>
      </c>
    </row>
    <row r="15" spans="1:26">
      <c r="D15" s="15">
        <v>123045</v>
      </c>
      <c r="E15">
        <v>2390</v>
      </c>
      <c r="F15">
        <v>1810</v>
      </c>
      <c r="G15">
        <v>2370</v>
      </c>
      <c r="H15">
        <v>1920</v>
      </c>
    </row>
    <row r="16" spans="1:26">
      <c r="D16" s="15">
        <v>123050</v>
      </c>
      <c r="E16">
        <v>2390</v>
      </c>
      <c r="F16">
        <v>1815</v>
      </c>
      <c r="G16">
        <v>2370</v>
      </c>
      <c r="H16">
        <v>1920</v>
      </c>
    </row>
    <row r="17" spans="4:8">
      <c r="D17" s="15">
        <v>123055</v>
      </c>
      <c r="E17">
        <v>2385</v>
      </c>
      <c r="F17">
        <v>1815</v>
      </c>
      <c r="G17">
        <v>2370</v>
      </c>
      <c r="H17">
        <v>1920</v>
      </c>
    </row>
    <row r="18" spans="4:8">
      <c r="D18" s="15">
        <v>123100</v>
      </c>
      <c r="E18">
        <v>2385</v>
      </c>
      <c r="F18">
        <v>1815</v>
      </c>
      <c r="G18">
        <v>2370</v>
      </c>
      <c r="H18">
        <v>1920</v>
      </c>
    </row>
    <row r="19" spans="4:8">
      <c r="D19" s="15">
        <v>123105</v>
      </c>
      <c r="E19">
        <v>2385</v>
      </c>
      <c r="F19">
        <v>1810</v>
      </c>
      <c r="G19">
        <v>2370</v>
      </c>
      <c r="H19">
        <v>1920</v>
      </c>
    </row>
    <row r="20" spans="4:8">
      <c r="D20" s="15">
        <v>123110</v>
      </c>
      <c r="E20">
        <v>2385</v>
      </c>
      <c r="F20">
        <v>1810</v>
      </c>
      <c r="G20">
        <v>2370</v>
      </c>
      <c r="H20">
        <v>1920</v>
      </c>
    </row>
    <row r="21" spans="4:8">
      <c r="D21" s="15">
        <v>123115</v>
      </c>
      <c r="E21">
        <v>2385</v>
      </c>
      <c r="F21">
        <v>1810</v>
      </c>
      <c r="G21">
        <v>2370</v>
      </c>
      <c r="H21">
        <v>1920</v>
      </c>
    </row>
    <row r="22" spans="4:8">
      <c r="D22" s="15">
        <v>123120</v>
      </c>
      <c r="E22">
        <v>2385</v>
      </c>
      <c r="F22">
        <v>1810</v>
      </c>
      <c r="G22">
        <v>2370</v>
      </c>
      <c r="H22">
        <v>1920</v>
      </c>
    </row>
    <row r="23" spans="4:8">
      <c r="D23" s="15">
        <v>123125</v>
      </c>
      <c r="E23">
        <v>2390</v>
      </c>
      <c r="F23">
        <v>1810</v>
      </c>
      <c r="G23">
        <v>2370</v>
      </c>
      <c r="H23">
        <v>1920</v>
      </c>
    </row>
    <row r="24" spans="4:8">
      <c r="D24" s="15">
        <v>123130</v>
      </c>
      <c r="E24">
        <v>2390</v>
      </c>
      <c r="F24">
        <v>1815</v>
      </c>
      <c r="G24">
        <v>2370</v>
      </c>
      <c r="H24">
        <v>1920</v>
      </c>
    </row>
    <row r="25" spans="4:8">
      <c r="D25" s="15">
        <v>123135</v>
      </c>
      <c r="E25">
        <v>2390</v>
      </c>
      <c r="F25">
        <v>1815</v>
      </c>
      <c r="G25">
        <v>2370</v>
      </c>
      <c r="H25">
        <v>1915</v>
      </c>
    </row>
    <row r="26" spans="4:8">
      <c r="D26" s="15">
        <v>123140</v>
      </c>
      <c r="E26">
        <v>2390</v>
      </c>
      <c r="F26">
        <v>1810</v>
      </c>
      <c r="G26">
        <v>2370</v>
      </c>
      <c r="H26">
        <v>1920</v>
      </c>
    </row>
    <row r="27" spans="4:8">
      <c r="D27" s="15">
        <v>123145</v>
      </c>
      <c r="E27">
        <v>2390</v>
      </c>
      <c r="F27">
        <v>1810</v>
      </c>
      <c r="G27">
        <v>2370</v>
      </c>
      <c r="H27">
        <v>1920</v>
      </c>
    </row>
    <row r="28" spans="4:8">
      <c r="D28" s="15">
        <v>123150</v>
      </c>
      <c r="E28">
        <v>2390</v>
      </c>
      <c r="F28">
        <v>1810</v>
      </c>
      <c r="G28">
        <v>2370</v>
      </c>
      <c r="H28">
        <v>1920</v>
      </c>
    </row>
    <row r="29" spans="4:8">
      <c r="D29" s="15">
        <v>123155</v>
      </c>
      <c r="E29">
        <v>2390</v>
      </c>
      <c r="F29">
        <v>1815</v>
      </c>
      <c r="G29">
        <v>2370</v>
      </c>
      <c r="H29">
        <v>1920</v>
      </c>
    </row>
    <row r="30" spans="4:8">
      <c r="D30" s="15">
        <v>123200</v>
      </c>
      <c r="E30">
        <v>2390</v>
      </c>
      <c r="F30">
        <v>1815</v>
      </c>
      <c r="G30">
        <v>2370</v>
      </c>
      <c r="H30">
        <v>1920</v>
      </c>
    </row>
    <row r="31" spans="4:8">
      <c r="D31" s="15">
        <v>123205</v>
      </c>
      <c r="E31">
        <v>2390</v>
      </c>
      <c r="F31">
        <v>1810</v>
      </c>
      <c r="G31">
        <v>2365</v>
      </c>
      <c r="H31">
        <v>1920</v>
      </c>
    </row>
    <row r="32" spans="4:8">
      <c r="D32" s="15">
        <v>123210</v>
      </c>
      <c r="E32">
        <v>2390</v>
      </c>
      <c r="F32">
        <v>1810</v>
      </c>
      <c r="G32">
        <v>2365</v>
      </c>
      <c r="H32">
        <v>1920</v>
      </c>
    </row>
    <row r="33" spans="4:8">
      <c r="D33" s="15">
        <v>123215</v>
      </c>
      <c r="E33">
        <v>2390</v>
      </c>
      <c r="F33">
        <v>1810</v>
      </c>
      <c r="G33">
        <v>2365</v>
      </c>
      <c r="H33">
        <v>1920</v>
      </c>
    </row>
    <row r="34" spans="4:8">
      <c r="D34" s="15">
        <v>123220</v>
      </c>
      <c r="E34">
        <v>2390</v>
      </c>
      <c r="F34">
        <v>1810</v>
      </c>
      <c r="G34">
        <v>2365</v>
      </c>
      <c r="H34">
        <v>1920</v>
      </c>
    </row>
    <row r="35" spans="4:8">
      <c r="D35" s="15">
        <v>123225</v>
      </c>
      <c r="E35">
        <v>2390</v>
      </c>
      <c r="F35">
        <v>1810</v>
      </c>
      <c r="G35">
        <v>2365</v>
      </c>
      <c r="H35">
        <v>1915</v>
      </c>
    </row>
    <row r="36" spans="4:8">
      <c r="D36" s="15">
        <v>123230</v>
      </c>
      <c r="E36">
        <v>2390</v>
      </c>
      <c r="F36">
        <v>1810</v>
      </c>
      <c r="G36">
        <v>2365</v>
      </c>
      <c r="H36">
        <v>1920</v>
      </c>
    </row>
    <row r="37" spans="4:8">
      <c r="D37" s="15">
        <v>123235</v>
      </c>
      <c r="E37">
        <v>2390</v>
      </c>
      <c r="F37">
        <v>1810</v>
      </c>
      <c r="G37">
        <v>2365</v>
      </c>
      <c r="H37">
        <v>1915</v>
      </c>
    </row>
    <row r="38" spans="4:8">
      <c r="D38" s="15">
        <v>123240</v>
      </c>
      <c r="E38">
        <v>2390</v>
      </c>
      <c r="F38">
        <v>1810</v>
      </c>
      <c r="G38">
        <v>2365</v>
      </c>
      <c r="H38">
        <v>1920</v>
      </c>
    </row>
    <row r="39" spans="4:8">
      <c r="D39" s="15">
        <v>123245</v>
      </c>
      <c r="E39">
        <v>2390</v>
      </c>
      <c r="F39">
        <v>1810</v>
      </c>
      <c r="G39">
        <v>2365</v>
      </c>
      <c r="H39">
        <v>1915</v>
      </c>
    </row>
    <row r="40" spans="4:8">
      <c r="D40" s="15">
        <v>123250</v>
      </c>
      <c r="E40">
        <v>2390</v>
      </c>
      <c r="F40">
        <v>1815</v>
      </c>
      <c r="G40">
        <v>2365</v>
      </c>
      <c r="H40">
        <v>1920</v>
      </c>
    </row>
    <row r="41" spans="4:8">
      <c r="D41" s="15">
        <v>123255</v>
      </c>
      <c r="E41">
        <v>2390</v>
      </c>
      <c r="F41">
        <v>1815</v>
      </c>
      <c r="G41">
        <v>2365</v>
      </c>
      <c r="H41">
        <v>1915</v>
      </c>
    </row>
    <row r="42" spans="4:8">
      <c r="D42" s="15">
        <v>123300</v>
      </c>
      <c r="E42">
        <v>2390</v>
      </c>
      <c r="F42">
        <v>1815</v>
      </c>
      <c r="G42">
        <v>2365</v>
      </c>
      <c r="H42">
        <v>1920</v>
      </c>
    </row>
    <row r="43" spans="4:8">
      <c r="D43" s="15">
        <v>123305</v>
      </c>
      <c r="E43">
        <v>2390</v>
      </c>
      <c r="F43">
        <v>1815</v>
      </c>
      <c r="G43">
        <v>2365</v>
      </c>
      <c r="H43">
        <v>1920</v>
      </c>
    </row>
    <row r="44" spans="4:8">
      <c r="D44" s="15">
        <v>123310</v>
      </c>
      <c r="E44">
        <v>2390</v>
      </c>
      <c r="F44">
        <v>1815</v>
      </c>
      <c r="G44">
        <v>2365</v>
      </c>
      <c r="H44">
        <v>1915</v>
      </c>
    </row>
    <row r="45" spans="4:8">
      <c r="D45" s="15">
        <v>123315</v>
      </c>
      <c r="E45">
        <v>2390</v>
      </c>
      <c r="F45">
        <v>1810</v>
      </c>
      <c r="G45">
        <v>2365</v>
      </c>
      <c r="H45">
        <v>1915</v>
      </c>
    </row>
    <row r="46" spans="4:8">
      <c r="D46" s="15">
        <v>123320</v>
      </c>
      <c r="E46">
        <v>2390</v>
      </c>
      <c r="F46">
        <v>1810</v>
      </c>
      <c r="G46">
        <v>2365</v>
      </c>
      <c r="H46">
        <v>1920</v>
      </c>
    </row>
    <row r="47" spans="4:8">
      <c r="D47" s="15">
        <v>123325</v>
      </c>
      <c r="E47">
        <v>2390</v>
      </c>
      <c r="F47">
        <v>1810</v>
      </c>
      <c r="G47">
        <v>2365</v>
      </c>
      <c r="H47">
        <v>1920</v>
      </c>
    </row>
    <row r="48" spans="4:8">
      <c r="D48" s="15">
        <v>123330</v>
      </c>
      <c r="E48">
        <v>2390</v>
      </c>
      <c r="F48">
        <v>1810</v>
      </c>
      <c r="G48">
        <v>2365</v>
      </c>
      <c r="H48">
        <v>1920</v>
      </c>
    </row>
    <row r="49" spans="4:8">
      <c r="D49" s="15">
        <v>123335</v>
      </c>
      <c r="E49">
        <v>2390</v>
      </c>
      <c r="F49">
        <v>1810</v>
      </c>
      <c r="G49">
        <v>2365</v>
      </c>
      <c r="H49">
        <v>1920</v>
      </c>
    </row>
    <row r="50" spans="4:8">
      <c r="D50" s="15">
        <v>123340</v>
      </c>
      <c r="E50">
        <v>2385</v>
      </c>
      <c r="F50">
        <v>1810</v>
      </c>
      <c r="G50">
        <v>2365</v>
      </c>
      <c r="H50">
        <v>1920</v>
      </c>
    </row>
    <row r="51" spans="4:8">
      <c r="D51" s="15">
        <v>123345</v>
      </c>
      <c r="E51">
        <v>2385</v>
      </c>
      <c r="F51">
        <v>1810</v>
      </c>
      <c r="G51">
        <v>2365</v>
      </c>
      <c r="H51">
        <v>1920</v>
      </c>
    </row>
    <row r="52" spans="4:8">
      <c r="D52" s="15">
        <v>123350</v>
      </c>
      <c r="E52">
        <v>2390</v>
      </c>
      <c r="F52">
        <v>1810</v>
      </c>
      <c r="G52">
        <v>2365</v>
      </c>
      <c r="H52">
        <v>1920</v>
      </c>
    </row>
    <row r="53" spans="4:8">
      <c r="D53" s="15">
        <v>123355</v>
      </c>
      <c r="E53">
        <v>2390</v>
      </c>
      <c r="F53">
        <v>1810</v>
      </c>
      <c r="G53">
        <v>2365</v>
      </c>
      <c r="H53">
        <v>1920</v>
      </c>
    </row>
    <row r="54" spans="4:8">
      <c r="D54" s="15">
        <v>123400</v>
      </c>
      <c r="E54">
        <v>2390</v>
      </c>
      <c r="F54">
        <v>1815</v>
      </c>
      <c r="G54">
        <v>2365</v>
      </c>
      <c r="H54">
        <v>1920</v>
      </c>
    </row>
    <row r="55" spans="4:8">
      <c r="D55" s="15">
        <v>123405</v>
      </c>
      <c r="E55">
        <v>2390</v>
      </c>
      <c r="F55">
        <v>1810</v>
      </c>
      <c r="G55">
        <v>2365</v>
      </c>
      <c r="H55">
        <v>1920</v>
      </c>
    </row>
    <row r="56" spans="4:8">
      <c r="D56" s="15">
        <v>123410</v>
      </c>
      <c r="E56">
        <v>2390</v>
      </c>
      <c r="F56">
        <v>1810</v>
      </c>
      <c r="G56">
        <v>2365</v>
      </c>
      <c r="H56">
        <v>1920</v>
      </c>
    </row>
    <row r="57" spans="4:8">
      <c r="D57" s="15">
        <v>123415</v>
      </c>
      <c r="E57">
        <v>2390</v>
      </c>
      <c r="F57">
        <v>1810</v>
      </c>
      <c r="G57">
        <v>2365</v>
      </c>
      <c r="H57">
        <v>1915</v>
      </c>
    </row>
    <row r="58" spans="4:8">
      <c r="D58" s="15">
        <v>123420</v>
      </c>
      <c r="E58">
        <v>2390</v>
      </c>
      <c r="F58">
        <v>1815</v>
      </c>
      <c r="G58">
        <v>2370</v>
      </c>
      <c r="H58">
        <v>1920</v>
      </c>
    </row>
    <row r="59" spans="4:8">
      <c r="D59" s="15">
        <v>123425</v>
      </c>
      <c r="E59">
        <v>2390</v>
      </c>
      <c r="F59">
        <v>1810</v>
      </c>
      <c r="G59">
        <v>2370</v>
      </c>
      <c r="H59">
        <v>1915</v>
      </c>
    </row>
    <row r="60" spans="4:8">
      <c r="D60" s="15">
        <v>123430</v>
      </c>
      <c r="E60">
        <v>2390</v>
      </c>
      <c r="F60">
        <v>1810</v>
      </c>
      <c r="G60">
        <v>2370</v>
      </c>
      <c r="H60">
        <v>1920</v>
      </c>
    </row>
    <row r="61" spans="4:8">
      <c r="D61" s="15">
        <v>123435</v>
      </c>
      <c r="E61">
        <v>2390</v>
      </c>
      <c r="F61">
        <v>1810</v>
      </c>
      <c r="G61">
        <v>2370</v>
      </c>
      <c r="H61">
        <v>1915</v>
      </c>
    </row>
    <row r="62" spans="4:8">
      <c r="D62" s="15">
        <v>123440</v>
      </c>
      <c r="E62">
        <v>2390</v>
      </c>
      <c r="F62">
        <v>1810</v>
      </c>
      <c r="G62">
        <v>2370</v>
      </c>
      <c r="H62">
        <v>1920</v>
      </c>
    </row>
    <row r="63" spans="4:8">
      <c r="D63" s="15">
        <v>123445</v>
      </c>
      <c r="E63">
        <v>2385</v>
      </c>
      <c r="F63">
        <v>1810</v>
      </c>
      <c r="G63">
        <v>2370</v>
      </c>
      <c r="H63">
        <v>1920</v>
      </c>
    </row>
    <row r="64" spans="4:8">
      <c r="D64" s="15">
        <v>123450</v>
      </c>
      <c r="E64">
        <v>2390</v>
      </c>
      <c r="F64">
        <v>1810</v>
      </c>
      <c r="G64">
        <v>2370</v>
      </c>
      <c r="H64">
        <v>1915</v>
      </c>
    </row>
    <row r="65" spans="4:8">
      <c r="D65" s="15">
        <v>123455</v>
      </c>
      <c r="E65">
        <v>2390</v>
      </c>
      <c r="F65">
        <v>1810</v>
      </c>
      <c r="G65">
        <v>2370</v>
      </c>
      <c r="H65">
        <v>1915</v>
      </c>
    </row>
    <row r="66" spans="4:8">
      <c r="D66" s="15">
        <v>123500</v>
      </c>
      <c r="E66">
        <v>2390</v>
      </c>
      <c r="F66">
        <v>1815</v>
      </c>
      <c r="G66">
        <v>2370</v>
      </c>
      <c r="H66">
        <v>1920</v>
      </c>
    </row>
    <row r="67" spans="4:8">
      <c r="D67" s="15">
        <v>123505</v>
      </c>
      <c r="E67">
        <v>2390</v>
      </c>
      <c r="F67">
        <v>1810</v>
      </c>
      <c r="G67">
        <v>2370</v>
      </c>
      <c r="H67">
        <v>1915</v>
      </c>
    </row>
    <row r="68" spans="4:8">
      <c r="D68" s="15">
        <v>123510</v>
      </c>
      <c r="E68">
        <v>2390</v>
      </c>
      <c r="F68">
        <v>1810</v>
      </c>
      <c r="G68">
        <v>2370</v>
      </c>
      <c r="H68">
        <v>1920</v>
      </c>
    </row>
    <row r="69" spans="4:8">
      <c r="D69" s="15">
        <v>123515</v>
      </c>
      <c r="E69">
        <v>2390</v>
      </c>
      <c r="F69">
        <v>1810</v>
      </c>
      <c r="G69">
        <v>2370</v>
      </c>
      <c r="H69">
        <v>1920</v>
      </c>
    </row>
    <row r="70" spans="4:8">
      <c r="D70" s="15">
        <v>123520</v>
      </c>
      <c r="E70">
        <v>2390</v>
      </c>
      <c r="F70">
        <v>1815</v>
      </c>
      <c r="G70">
        <v>2370</v>
      </c>
      <c r="H70">
        <v>1920</v>
      </c>
    </row>
    <row r="71" spans="4:8">
      <c r="D71" s="15">
        <v>123525</v>
      </c>
      <c r="E71">
        <v>2390</v>
      </c>
      <c r="F71">
        <v>1810</v>
      </c>
      <c r="G71">
        <v>2370</v>
      </c>
      <c r="H71">
        <v>1920</v>
      </c>
    </row>
    <row r="72" spans="4:8">
      <c r="D72" s="15">
        <v>123530</v>
      </c>
      <c r="E72">
        <v>2390</v>
      </c>
      <c r="F72">
        <v>1810</v>
      </c>
      <c r="G72">
        <v>2370</v>
      </c>
      <c r="H72">
        <v>1920</v>
      </c>
    </row>
    <row r="73" spans="4:8">
      <c r="D73" s="15">
        <v>123535</v>
      </c>
      <c r="E73">
        <v>2390</v>
      </c>
      <c r="F73">
        <v>1810</v>
      </c>
      <c r="G73">
        <v>2370</v>
      </c>
      <c r="H73">
        <v>1915</v>
      </c>
    </row>
    <row r="74" spans="4:8">
      <c r="D74" s="15">
        <v>123540</v>
      </c>
      <c r="E74">
        <v>2390</v>
      </c>
      <c r="F74">
        <v>1810</v>
      </c>
      <c r="G74">
        <v>2370</v>
      </c>
      <c r="H74">
        <v>1920</v>
      </c>
    </row>
    <row r="75" spans="4:8">
      <c r="D75" s="15">
        <v>123545</v>
      </c>
      <c r="E75">
        <v>2380</v>
      </c>
      <c r="F75">
        <v>1810</v>
      </c>
      <c r="G75">
        <v>2370</v>
      </c>
      <c r="H75">
        <v>1920</v>
      </c>
    </row>
    <row r="76" spans="4:8">
      <c r="D76" s="15">
        <v>123550</v>
      </c>
      <c r="E76">
        <v>2380</v>
      </c>
      <c r="F76">
        <v>1810</v>
      </c>
      <c r="G76">
        <v>2370</v>
      </c>
      <c r="H76">
        <v>1920</v>
      </c>
    </row>
    <row r="77" spans="4:8">
      <c r="D77" s="15">
        <v>123555</v>
      </c>
      <c r="E77">
        <v>2380</v>
      </c>
      <c r="F77">
        <v>1810</v>
      </c>
      <c r="G77">
        <v>2370</v>
      </c>
      <c r="H77">
        <v>1920</v>
      </c>
    </row>
    <row r="78" spans="4:8">
      <c r="D78" s="15">
        <v>123600</v>
      </c>
      <c r="E78">
        <v>2385</v>
      </c>
      <c r="F78">
        <v>1815</v>
      </c>
      <c r="G78">
        <v>2370</v>
      </c>
      <c r="H78">
        <v>1920</v>
      </c>
    </row>
    <row r="79" spans="4:8">
      <c r="D79" s="15">
        <v>123605</v>
      </c>
      <c r="E79">
        <v>2385</v>
      </c>
      <c r="F79">
        <v>1810</v>
      </c>
      <c r="G79">
        <v>2370</v>
      </c>
      <c r="H79">
        <v>1915</v>
      </c>
    </row>
    <row r="80" spans="4:8">
      <c r="D80" s="15">
        <v>123610</v>
      </c>
      <c r="E80">
        <v>2385</v>
      </c>
      <c r="F80">
        <v>1810</v>
      </c>
      <c r="G80">
        <v>2370</v>
      </c>
      <c r="H80">
        <v>1920</v>
      </c>
    </row>
    <row r="81" spans="4:8">
      <c r="D81" s="15">
        <v>123615</v>
      </c>
      <c r="E81">
        <v>2385</v>
      </c>
      <c r="F81">
        <v>1810</v>
      </c>
      <c r="G81">
        <v>2370</v>
      </c>
      <c r="H81">
        <v>1915</v>
      </c>
    </row>
    <row r="82" spans="4:8">
      <c r="D82" s="15">
        <v>123620</v>
      </c>
      <c r="E82">
        <v>2385</v>
      </c>
      <c r="F82">
        <v>1810</v>
      </c>
      <c r="G82">
        <v>2370</v>
      </c>
      <c r="H82">
        <v>1915</v>
      </c>
    </row>
    <row r="83" spans="4:8">
      <c r="D83" s="15">
        <v>123625</v>
      </c>
      <c r="E83">
        <v>2385</v>
      </c>
      <c r="F83">
        <v>1810</v>
      </c>
      <c r="G83">
        <v>2370</v>
      </c>
      <c r="H83">
        <v>1920</v>
      </c>
    </row>
    <row r="84" spans="4:8">
      <c r="D84" s="15">
        <v>123630</v>
      </c>
      <c r="E84">
        <v>2385</v>
      </c>
      <c r="F84">
        <v>1815</v>
      </c>
      <c r="G84">
        <v>2370</v>
      </c>
      <c r="H84">
        <v>1915</v>
      </c>
    </row>
    <row r="85" spans="4:8">
      <c r="D85" s="15">
        <v>123635</v>
      </c>
      <c r="E85">
        <v>2385</v>
      </c>
      <c r="F85">
        <v>1815</v>
      </c>
      <c r="G85">
        <v>2370</v>
      </c>
      <c r="H85">
        <v>1920</v>
      </c>
    </row>
    <row r="86" spans="4:8">
      <c r="D86" s="15">
        <v>123640</v>
      </c>
      <c r="E86">
        <v>2385</v>
      </c>
      <c r="F86">
        <v>1815</v>
      </c>
      <c r="G86">
        <v>2370</v>
      </c>
      <c r="H86">
        <v>1915</v>
      </c>
    </row>
    <row r="87" spans="4:8">
      <c r="D87" s="15">
        <v>123645</v>
      </c>
      <c r="E87">
        <v>2380</v>
      </c>
      <c r="F87">
        <v>1810</v>
      </c>
      <c r="G87">
        <v>2370</v>
      </c>
      <c r="H87">
        <v>1915</v>
      </c>
    </row>
    <row r="88" spans="4:8">
      <c r="D88" s="15">
        <v>123650</v>
      </c>
      <c r="E88">
        <v>2380</v>
      </c>
      <c r="F88">
        <v>1810</v>
      </c>
      <c r="G88">
        <v>2370</v>
      </c>
      <c r="H88">
        <v>1920</v>
      </c>
    </row>
    <row r="89" spans="4:8">
      <c r="D89" s="15">
        <v>123655</v>
      </c>
      <c r="E89">
        <v>2380</v>
      </c>
      <c r="F89">
        <v>1810</v>
      </c>
      <c r="G89">
        <v>2370</v>
      </c>
      <c r="H89">
        <v>1920</v>
      </c>
    </row>
    <row r="90" spans="4:8">
      <c r="D90" s="15">
        <v>123700</v>
      </c>
      <c r="E90">
        <v>2380</v>
      </c>
      <c r="F90">
        <v>1810</v>
      </c>
      <c r="G90">
        <v>2370</v>
      </c>
      <c r="H90">
        <v>1920</v>
      </c>
    </row>
    <row r="91" spans="4:8">
      <c r="D91" s="15">
        <v>123705</v>
      </c>
      <c r="E91">
        <v>2380</v>
      </c>
      <c r="F91">
        <v>1810</v>
      </c>
      <c r="G91">
        <v>2370</v>
      </c>
      <c r="H91">
        <v>1920</v>
      </c>
    </row>
    <row r="92" spans="4:8">
      <c r="D92" s="15">
        <v>123710</v>
      </c>
      <c r="E92">
        <v>2380</v>
      </c>
      <c r="F92">
        <v>1810</v>
      </c>
      <c r="G92">
        <v>2370</v>
      </c>
      <c r="H92">
        <v>1920</v>
      </c>
    </row>
    <row r="93" spans="4:8">
      <c r="D93" s="15">
        <v>123715</v>
      </c>
      <c r="E93">
        <v>2380</v>
      </c>
      <c r="F93">
        <v>1810</v>
      </c>
      <c r="G93">
        <v>2370</v>
      </c>
      <c r="H93">
        <v>1915</v>
      </c>
    </row>
    <row r="94" spans="4:8">
      <c r="D94" s="15">
        <v>123720</v>
      </c>
      <c r="E94">
        <v>2380</v>
      </c>
      <c r="F94">
        <v>1815</v>
      </c>
      <c r="G94">
        <v>2370</v>
      </c>
      <c r="H94">
        <v>1920</v>
      </c>
    </row>
    <row r="95" spans="4:8">
      <c r="D95" s="15">
        <v>123725</v>
      </c>
      <c r="E95">
        <v>2380</v>
      </c>
      <c r="F95">
        <v>1810</v>
      </c>
      <c r="G95">
        <v>2370</v>
      </c>
      <c r="H95">
        <v>1920</v>
      </c>
    </row>
    <row r="96" spans="4:8">
      <c r="D96" s="15">
        <v>123730</v>
      </c>
      <c r="E96">
        <v>2380</v>
      </c>
      <c r="F96">
        <v>1810</v>
      </c>
      <c r="G96">
        <v>2370</v>
      </c>
      <c r="H96">
        <v>1920</v>
      </c>
    </row>
    <row r="97" spans="4:8">
      <c r="D97" s="15">
        <v>123735</v>
      </c>
      <c r="E97">
        <v>2380</v>
      </c>
      <c r="F97">
        <v>1810</v>
      </c>
      <c r="G97">
        <v>2370</v>
      </c>
      <c r="H97">
        <v>1920</v>
      </c>
    </row>
    <row r="98" spans="4:8">
      <c r="D98" s="15">
        <v>123740</v>
      </c>
      <c r="E98">
        <v>2380</v>
      </c>
      <c r="F98">
        <v>1810</v>
      </c>
      <c r="G98">
        <v>2370</v>
      </c>
      <c r="H98">
        <v>1920</v>
      </c>
    </row>
    <row r="99" spans="4:8">
      <c r="D99" s="15">
        <v>123745</v>
      </c>
      <c r="E99">
        <v>2380</v>
      </c>
      <c r="F99">
        <v>1810</v>
      </c>
      <c r="G99">
        <v>2370</v>
      </c>
      <c r="H99">
        <v>1920</v>
      </c>
    </row>
    <row r="100" spans="4:8">
      <c r="D100" s="15">
        <v>123750</v>
      </c>
      <c r="E100">
        <v>2380</v>
      </c>
      <c r="F100">
        <v>1815</v>
      </c>
      <c r="G100">
        <v>2370</v>
      </c>
      <c r="H100">
        <v>1920</v>
      </c>
    </row>
    <row r="101" spans="4:8">
      <c r="D101" s="15">
        <v>123755</v>
      </c>
      <c r="E101">
        <v>2380</v>
      </c>
      <c r="F101">
        <v>1810</v>
      </c>
      <c r="G101">
        <v>2370</v>
      </c>
      <c r="H101">
        <v>1920</v>
      </c>
    </row>
    <row r="102" spans="4:8">
      <c r="D102" s="15">
        <v>123800</v>
      </c>
      <c r="E102">
        <v>2380</v>
      </c>
      <c r="F102">
        <v>1815</v>
      </c>
      <c r="G102">
        <v>2370</v>
      </c>
      <c r="H102">
        <v>1920</v>
      </c>
    </row>
    <row r="103" spans="4:8">
      <c r="D103" s="15">
        <v>123805</v>
      </c>
      <c r="E103">
        <v>2380</v>
      </c>
      <c r="F103">
        <v>1810</v>
      </c>
      <c r="G103">
        <v>2370</v>
      </c>
      <c r="H103">
        <v>1920</v>
      </c>
    </row>
    <row r="104" spans="4:8">
      <c r="D104" s="15">
        <v>123810</v>
      </c>
      <c r="E104">
        <v>2380</v>
      </c>
      <c r="F104">
        <v>1815</v>
      </c>
      <c r="G104">
        <v>2370</v>
      </c>
      <c r="H104">
        <v>1920</v>
      </c>
    </row>
    <row r="105" spans="4:8">
      <c r="D105" s="15">
        <v>123815</v>
      </c>
      <c r="E105">
        <v>2380</v>
      </c>
      <c r="F105">
        <v>1810</v>
      </c>
      <c r="G105">
        <v>2370</v>
      </c>
      <c r="H105">
        <v>1920</v>
      </c>
    </row>
    <row r="106" spans="4:8">
      <c r="D106" s="15">
        <v>123820</v>
      </c>
      <c r="E106">
        <v>2380</v>
      </c>
      <c r="F106">
        <v>1810</v>
      </c>
      <c r="G106">
        <v>2370</v>
      </c>
      <c r="H106">
        <v>1920</v>
      </c>
    </row>
    <row r="107" spans="4:8">
      <c r="D107" s="15">
        <v>123825</v>
      </c>
      <c r="E107">
        <v>2375</v>
      </c>
      <c r="F107">
        <v>1810</v>
      </c>
      <c r="G107">
        <v>2370</v>
      </c>
      <c r="H107">
        <v>1920</v>
      </c>
    </row>
    <row r="108" spans="4:8">
      <c r="D108" s="15">
        <v>123830</v>
      </c>
      <c r="E108">
        <v>2380</v>
      </c>
      <c r="F108">
        <v>1810</v>
      </c>
      <c r="G108">
        <v>2370</v>
      </c>
      <c r="H108">
        <v>1915</v>
      </c>
    </row>
    <row r="109" spans="4:8">
      <c r="D109" s="15">
        <v>123835</v>
      </c>
      <c r="E109">
        <v>2380</v>
      </c>
      <c r="F109">
        <v>1810</v>
      </c>
      <c r="G109">
        <v>2370</v>
      </c>
      <c r="H109">
        <v>1920</v>
      </c>
    </row>
    <row r="110" spans="4:8">
      <c r="D110" s="15">
        <v>123840</v>
      </c>
      <c r="E110">
        <v>2380</v>
      </c>
      <c r="F110">
        <v>1805</v>
      </c>
      <c r="G110">
        <v>2370</v>
      </c>
      <c r="H110">
        <v>1920</v>
      </c>
    </row>
    <row r="111" spans="4:8">
      <c r="D111" s="15">
        <v>123845</v>
      </c>
      <c r="E111">
        <v>2380</v>
      </c>
      <c r="F111">
        <v>1805</v>
      </c>
      <c r="G111">
        <v>2370</v>
      </c>
      <c r="H111">
        <v>1920</v>
      </c>
    </row>
    <row r="112" spans="4:8">
      <c r="D112" s="15">
        <v>123850</v>
      </c>
      <c r="E112">
        <v>2380</v>
      </c>
      <c r="F112">
        <v>1805</v>
      </c>
      <c r="G112">
        <v>2370</v>
      </c>
      <c r="H112">
        <v>1915</v>
      </c>
    </row>
    <row r="113" spans="4:8">
      <c r="D113" s="15">
        <v>123855</v>
      </c>
      <c r="E113">
        <v>2380</v>
      </c>
      <c r="F113">
        <v>1805</v>
      </c>
      <c r="G113">
        <v>2370</v>
      </c>
      <c r="H113">
        <v>1920</v>
      </c>
    </row>
    <row r="114" spans="4:8">
      <c r="D114" s="15">
        <v>123900</v>
      </c>
      <c r="E114">
        <v>2380</v>
      </c>
      <c r="F114">
        <v>1805</v>
      </c>
      <c r="G114">
        <v>2370</v>
      </c>
      <c r="H114">
        <v>1920</v>
      </c>
    </row>
    <row r="115" spans="4:8">
      <c r="D115" s="15">
        <v>123905</v>
      </c>
      <c r="E115">
        <v>2380</v>
      </c>
      <c r="F115">
        <v>1805</v>
      </c>
      <c r="G115">
        <v>2370</v>
      </c>
      <c r="H115">
        <v>1920</v>
      </c>
    </row>
    <row r="116" spans="4:8">
      <c r="D116" s="15">
        <v>123910</v>
      </c>
      <c r="E116">
        <v>2380</v>
      </c>
      <c r="F116">
        <v>1810</v>
      </c>
      <c r="G116">
        <v>2370</v>
      </c>
      <c r="H116">
        <v>1915</v>
      </c>
    </row>
    <row r="117" spans="4:8">
      <c r="D117" s="15">
        <v>123915</v>
      </c>
      <c r="E117">
        <v>2380</v>
      </c>
      <c r="F117">
        <v>1810</v>
      </c>
      <c r="G117">
        <v>2370</v>
      </c>
      <c r="H117">
        <v>1920</v>
      </c>
    </row>
    <row r="118" spans="4:8">
      <c r="D118" s="15">
        <v>123920</v>
      </c>
      <c r="E118">
        <v>2380</v>
      </c>
      <c r="F118">
        <v>1805</v>
      </c>
      <c r="G118">
        <v>2370</v>
      </c>
      <c r="H118">
        <v>1920</v>
      </c>
    </row>
    <row r="119" spans="4:8">
      <c r="D119" s="15">
        <v>123925</v>
      </c>
      <c r="E119">
        <v>2380</v>
      </c>
      <c r="F119">
        <v>1805</v>
      </c>
      <c r="G119">
        <v>2370</v>
      </c>
      <c r="H119">
        <v>1915</v>
      </c>
    </row>
    <row r="120" spans="4:8">
      <c r="D120" s="15">
        <v>123930</v>
      </c>
      <c r="E120">
        <v>2380</v>
      </c>
      <c r="F120">
        <v>1805</v>
      </c>
      <c r="G120">
        <v>2365</v>
      </c>
      <c r="H120">
        <v>1920</v>
      </c>
    </row>
    <row r="121" spans="4:8">
      <c r="D121" s="15">
        <v>123935</v>
      </c>
      <c r="E121">
        <v>2380</v>
      </c>
      <c r="F121">
        <v>1805</v>
      </c>
      <c r="G121">
        <v>2365</v>
      </c>
      <c r="H121">
        <v>1920</v>
      </c>
    </row>
    <row r="122" spans="4:8">
      <c r="D122" s="15">
        <v>123940</v>
      </c>
      <c r="E122">
        <v>2380</v>
      </c>
      <c r="F122">
        <v>1810</v>
      </c>
      <c r="G122">
        <v>2365</v>
      </c>
      <c r="H122">
        <v>1920</v>
      </c>
    </row>
    <row r="123" spans="4:8">
      <c r="D123" s="15">
        <v>123945</v>
      </c>
      <c r="E123">
        <v>2380</v>
      </c>
      <c r="F123">
        <v>1805</v>
      </c>
      <c r="G123">
        <v>2365</v>
      </c>
      <c r="H123">
        <v>1915</v>
      </c>
    </row>
    <row r="124" spans="4:8">
      <c r="D124" s="15">
        <v>123950</v>
      </c>
      <c r="E124">
        <v>2380</v>
      </c>
      <c r="F124">
        <v>1810</v>
      </c>
      <c r="G124">
        <v>2365</v>
      </c>
      <c r="H124">
        <v>1915</v>
      </c>
    </row>
    <row r="125" spans="4:8">
      <c r="D125" s="15">
        <v>123955</v>
      </c>
      <c r="E125">
        <v>2375</v>
      </c>
      <c r="F125">
        <v>1810</v>
      </c>
      <c r="G125">
        <v>2365</v>
      </c>
      <c r="H125">
        <v>1915</v>
      </c>
    </row>
    <row r="126" spans="4:8">
      <c r="D126" s="15">
        <v>124000</v>
      </c>
      <c r="E126">
        <v>2380</v>
      </c>
      <c r="F126">
        <v>1810</v>
      </c>
      <c r="G126">
        <v>2365</v>
      </c>
      <c r="H126">
        <v>1920</v>
      </c>
    </row>
    <row r="127" spans="4:8">
      <c r="D127" s="15">
        <v>124005</v>
      </c>
      <c r="E127">
        <v>2380</v>
      </c>
      <c r="F127">
        <v>1805</v>
      </c>
      <c r="G127">
        <v>2365</v>
      </c>
      <c r="H127">
        <v>1920</v>
      </c>
    </row>
    <row r="128" spans="4:8">
      <c r="D128" s="15">
        <v>124010</v>
      </c>
      <c r="E128">
        <v>2380</v>
      </c>
      <c r="F128">
        <v>1810</v>
      </c>
      <c r="G128">
        <v>2365</v>
      </c>
      <c r="H128">
        <v>1920</v>
      </c>
    </row>
    <row r="129" spans="4:8">
      <c r="D129" s="15">
        <v>124015</v>
      </c>
      <c r="E129">
        <v>2380</v>
      </c>
      <c r="F129">
        <v>1805</v>
      </c>
      <c r="G129">
        <v>2365</v>
      </c>
      <c r="H129">
        <v>1920</v>
      </c>
    </row>
    <row r="130" spans="4:8">
      <c r="D130" s="15">
        <v>124020</v>
      </c>
      <c r="E130">
        <v>2380</v>
      </c>
      <c r="F130">
        <v>1805</v>
      </c>
      <c r="G130">
        <v>2365</v>
      </c>
      <c r="H130">
        <v>1920</v>
      </c>
    </row>
    <row r="131" spans="4:8">
      <c r="D131" s="15">
        <v>124025</v>
      </c>
      <c r="E131">
        <v>2380</v>
      </c>
      <c r="F131">
        <v>1805</v>
      </c>
      <c r="G131">
        <v>2365</v>
      </c>
      <c r="H131">
        <v>1915</v>
      </c>
    </row>
    <row r="132" spans="4:8">
      <c r="D132" s="15">
        <v>124030</v>
      </c>
      <c r="E132">
        <v>2380</v>
      </c>
      <c r="F132">
        <v>1810</v>
      </c>
      <c r="G132">
        <v>2365</v>
      </c>
      <c r="H132">
        <v>1920</v>
      </c>
    </row>
    <row r="133" spans="4:8">
      <c r="D133" s="15">
        <v>124035</v>
      </c>
      <c r="E133">
        <v>2380</v>
      </c>
      <c r="F133">
        <v>1810</v>
      </c>
      <c r="G133">
        <v>2365</v>
      </c>
      <c r="H133">
        <v>1920</v>
      </c>
    </row>
    <row r="134" spans="4:8">
      <c r="D134" s="15">
        <v>124040</v>
      </c>
      <c r="E134">
        <v>2380</v>
      </c>
      <c r="F134">
        <v>1810</v>
      </c>
      <c r="G134">
        <v>2365</v>
      </c>
      <c r="H134">
        <v>1920</v>
      </c>
    </row>
    <row r="135" spans="4:8">
      <c r="D135" s="15">
        <v>124045</v>
      </c>
      <c r="E135">
        <v>2380</v>
      </c>
      <c r="F135">
        <v>1805</v>
      </c>
      <c r="G135">
        <v>2365</v>
      </c>
      <c r="H135">
        <v>1920</v>
      </c>
    </row>
    <row r="136" spans="4:8">
      <c r="D136" s="15">
        <v>124050</v>
      </c>
      <c r="E136">
        <v>2380</v>
      </c>
      <c r="F136">
        <v>1805</v>
      </c>
      <c r="G136">
        <v>2365</v>
      </c>
      <c r="H136">
        <v>1915</v>
      </c>
    </row>
    <row r="137" spans="4:8">
      <c r="D137" s="15">
        <v>124055</v>
      </c>
      <c r="E137">
        <v>2375</v>
      </c>
      <c r="F137">
        <v>1805</v>
      </c>
      <c r="G137">
        <v>2365</v>
      </c>
      <c r="H137">
        <v>1915</v>
      </c>
    </row>
    <row r="138" spans="4:8">
      <c r="D138" s="15">
        <v>124100</v>
      </c>
      <c r="E138">
        <v>2375</v>
      </c>
      <c r="F138">
        <v>1805</v>
      </c>
      <c r="G138">
        <v>2365</v>
      </c>
      <c r="H138">
        <v>1920</v>
      </c>
    </row>
    <row r="139" spans="4:8">
      <c r="D139" s="15">
        <v>124105</v>
      </c>
      <c r="E139">
        <v>2375</v>
      </c>
      <c r="F139">
        <v>1805</v>
      </c>
      <c r="G139">
        <v>2365</v>
      </c>
      <c r="H139">
        <v>1915</v>
      </c>
    </row>
    <row r="140" spans="4:8">
      <c r="D140" s="15">
        <v>124110</v>
      </c>
      <c r="E140">
        <v>2375</v>
      </c>
      <c r="F140">
        <v>1805</v>
      </c>
      <c r="G140">
        <v>2365</v>
      </c>
      <c r="H140">
        <v>1920</v>
      </c>
    </row>
    <row r="141" spans="4:8">
      <c r="D141" s="15">
        <v>124115</v>
      </c>
      <c r="E141">
        <v>2375</v>
      </c>
      <c r="F141">
        <v>1810</v>
      </c>
      <c r="G141">
        <v>2365</v>
      </c>
      <c r="H141">
        <v>1920</v>
      </c>
    </row>
    <row r="142" spans="4:8">
      <c r="D142" s="15">
        <v>124120</v>
      </c>
      <c r="E142">
        <v>2375</v>
      </c>
      <c r="F142">
        <v>1805</v>
      </c>
      <c r="G142">
        <v>2365</v>
      </c>
      <c r="H142">
        <v>1915</v>
      </c>
    </row>
    <row r="143" spans="4:8">
      <c r="D143" s="15">
        <v>124125</v>
      </c>
      <c r="E143">
        <v>2375</v>
      </c>
      <c r="F143">
        <v>1805</v>
      </c>
      <c r="G143">
        <v>2365</v>
      </c>
      <c r="H143">
        <v>1915</v>
      </c>
    </row>
    <row r="144" spans="4:8">
      <c r="D144" s="15">
        <v>124130</v>
      </c>
      <c r="E144">
        <v>2375</v>
      </c>
      <c r="F144">
        <v>1810</v>
      </c>
      <c r="G144">
        <v>2365</v>
      </c>
      <c r="H144">
        <v>1920</v>
      </c>
    </row>
    <row r="145" spans="4:8">
      <c r="D145" s="15">
        <v>124135</v>
      </c>
      <c r="E145">
        <v>2375</v>
      </c>
      <c r="F145">
        <v>1810</v>
      </c>
      <c r="G145">
        <v>2365</v>
      </c>
      <c r="H145">
        <v>1920</v>
      </c>
    </row>
    <row r="146" spans="4:8">
      <c r="D146" s="15">
        <v>124140</v>
      </c>
      <c r="E146">
        <v>2375</v>
      </c>
      <c r="F146">
        <v>1810</v>
      </c>
      <c r="G146">
        <v>2365</v>
      </c>
      <c r="H146">
        <v>1920</v>
      </c>
    </row>
    <row r="147" spans="4:8">
      <c r="D147" s="15">
        <v>124145</v>
      </c>
      <c r="E147">
        <v>2375</v>
      </c>
      <c r="F147">
        <v>1805</v>
      </c>
      <c r="G147">
        <v>2365</v>
      </c>
      <c r="H147">
        <v>1920</v>
      </c>
    </row>
    <row r="148" spans="4:8">
      <c r="D148" s="15">
        <v>124150</v>
      </c>
      <c r="E148">
        <v>2375</v>
      </c>
      <c r="F148">
        <v>1805</v>
      </c>
      <c r="G148">
        <v>2365</v>
      </c>
      <c r="H148">
        <v>1920</v>
      </c>
    </row>
    <row r="149" spans="4:8">
      <c r="D149" s="15">
        <v>124155</v>
      </c>
      <c r="E149">
        <v>2375</v>
      </c>
      <c r="F149">
        <v>1810</v>
      </c>
      <c r="G149">
        <v>2365</v>
      </c>
      <c r="H149">
        <v>1920</v>
      </c>
    </row>
    <row r="150" spans="4:8">
      <c r="D150" s="15">
        <v>124200</v>
      </c>
      <c r="E150">
        <v>2375</v>
      </c>
      <c r="F150">
        <v>1810</v>
      </c>
      <c r="G150">
        <v>2365</v>
      </c>
      <c r="H150">
        <v>1920</v>
      </c>
    </row>
    <row r="151" spans="4:8">
      <c r="D151" s="15">
        <v>124205</v>
      </c>
      <c r="E151">
        <v>2380</v>
      </c>
      <c r="F151">
        <v>1805</v>
      </c>
      <c r="G151">
        <v>2365</v>
      </c>
      <c r="H151">
        <v>1920</v>
      </c>
    </row>
    <row r="152" spans="4:8">
      <c r="D152" s="15">
        <v>124210</v>
      </c>
      <c r="E152">
        <v>2380</v>
      </c>
      <c r="F152">
        <v>1805</v>
      </c>
      <c r="G152">
        <v>2365</v>
      </c>
      <c r="H152">
        <v>1920</v>
      </c>
    </row>
    <row r="153" spans="4:8">
      <c r="D153" s="15">
        <v>124215</v>
      </c>
      <c r="E153">
        <v>2380</v>
      </c>
      <c r="F153">
        <v>1805</v>
      </c>
      <c r="G153">
        <v>2365</v>
      </c>
      <c r="H153">
        <v>1920</v>
      </c>
    </row>
    <row r="154" spans="4:8">
      <c r="D154" s="15">
        <v>124220</v>
      </c>
      <c r="E154">
        <v>2380</v>
      </c>
      <c r="F154">
        <v>1810</v>
      </c>
      <c r="G154">
        <v>2365</v>
      </c>
      <c r="H154">
        <v>1915</v>
      </c>
    </row>
    <row r="155" spans="4:8">
      <c r="D155" s="15">
        <v>124225</v>
      </c>
      <c r="E155">
        <v>2380</v>
      </c>
      <c r="F155">
        <v>1805</v>
      </c>
      <c r="G155">
        <v>2365</v>
      </c>
      <c r="H155">
        <v>1920</v>
      </c>
    </row>
    <row r="156" spans="4:8">
      <c r="D156" s="15">
        <v>124230</v>
      </c>
      <c r="E156">
        <v>2380</v>
      </c>
      <c r="F156">
        <v>1810</v>
      </c>
      <c r="G156">
        <v>2365</v>
      </c>
      <c r="H156">
        <v>1915</v>
      </c>
    </row>
    <row r="157" spans="4:8">
      <c r="D157" s="15">
        <v>124235</v>
      </c>
      <c r="E157">
        <v>2380</v>
      </c>
      <c r="F157">
        <v>1810</v>
      </c>
      <c r="G157">
        <v>2365</v>
      </c>
      <c r="H157">
        <v>1920</v>
      </c>
    </row>
    <row r="158" spans="4:8">
      <c r="D158" s="15">
        <v>124240</v>
      </c>
      <c r="E158">
        <v>2380</v>
      </c>
      <c r="F158">
        <v>1805</v>
      </c>
      <c r="G158">
        <v>2365</v>
      </c>
      <c r="H158">
        <v>1920</v>
      </c>
    </row>
    <row r="159" spans="4:8">
      <c r="D159" s="15">
        <v>124245</v>
      </c>
      <c r="E159">
        <v>2380</v>
      </c>
      <c r="F159">
        <v>1805</v>
      </c>
      <c r="G159">
        <v>2365</v>
      </c>
      <c r="H159">
        <v>1920</v>
      </c>
    </row>
    <row r="160" spans="4:8">
      <c r="D160" s="15">
        <v>124250</v>
      </c>
      <c r="E160">
        <v>2380</v>
      </c>
      <c r="F160">
        <v>1805</v>
      </c>
      <c r="G160">
        <v>2365</v>
      </c>
      <c r="H160">
        <v>1920</v>
      </c>
    </row>
    <row r="161" spans="4:8">
      <c r="D161" s="15">
        <v>124255</v>
      </c>
      <c r="E161">
        <v>2380</v>
      </c>
      <c r="F161">
        <v>1805</v>
      </c>
      <c r="G161">
        <v>2365</v>
      </c>
      <c r="H161">
        <v>1920</v>
      </c>
    </row>
    <row r="162" spans="4:8">
      <c r="D162" s="15">
        <v>124300</v>
      </c>
      <c r="E162">
        <v>2380</v>
      </c>
      <c r="F162">
        <v>1805</v>
      </c>
      <c r="G162">
        <v>2365</v>
      </c>
      <c r="H162">
        <v>1920</v>
      </c>
    </row>
    <row r="163" spans="4:8">
      <c r="D163" s="15">
        <v>124305</v>
      </c>
      <c r="E163">
        <v>2380</v>
      </c>
      <c r="F163">
        <v>1805</v>
      </c>
      <c r="G163">
        <v>2365</v>
      </c>
      <c r="H163">
        <v>1920</v>
      </c>
    </row>
    <row r="164" spans="4:8">
      <c r="D164" s="15">
        <v>124310</v>
      </c>
      <c r="E164">
        <v>2380</v>
      </c>
      <c r="F164">
        <v>1810</v>
      </c>
      <c r="G164">
        <v>2365</v>
      </c>
      <c r="H164">
        <v>1920</v>
      </c>
    </row>
    <row r="165" spans="4:8">
      <c r="D165" s="15">
        <v>124315</v>
      </c>
      <c r="E165">
        <v>2380</v>
      </c>
      <c r="F165">
        <v>1810</v>
      </c>
      <c r="G165">
        <v>2365</v>
      </c>
      <c r="H165">
        <v>1920</v>
      </c>
    </row>
    <row r="166" spans="4:8">
      <c r="D166" s="15">
        <v>124320</v>
      </c>
      <c r="E166">
        <v>2380</v>
      </c>
      <c r="F166">
        <v>1810</v>
      </c>
      <c r="G166">
        <v>2365</v>
      </c>
      <c r="H166">
        <v>1920</v>
      </c>
    </row>
    <row r="167" spans="4:8">
      <c r="D167" s="15">
        <v>124325</v>
      </c>
      <c r="E167">
        <v>2380</v>
      </c>
      <c r="F167">
        <v>1805</v>
      </c>
      <c r="G167">
        <v>2365</v>
      </c>
      <c r="H167">
        <v>1920</v>
      </c>
    </row>
    <row r="168" spans="4:8">
      <c r="D168" s="15">
        <v>124330</v>
      </c>
      <c r="E168">
        <v>2380</v>
      </c>
      <c r="F168">
        <v>1805</v>
      </c>
      <c r="G168">
        <v>2365</v>
      </c>
      <c r="H168">
        <v>1915</v>
      </c>
    </row>
    <row r="169" spans="4:8">
      <c r="D169" s="15">
        <v>124335</v>
      </c>
      <c r="E169">
        <v>2380</v>
      </c>
      <c r="F169">
        <v>1810</v>
      </c>
      <c r="G169">
        <v>2365</v>
      </c>
      <c r="H169">
        <v>1915</v>
      </c>
    </row>
    <row r="170" spans="4:8">
      <c r="D170" s="15">
        <v>124340</v>
      </c>
      <c r="E170">
        <v>2380</v>
      </c>
      <c r="F170">
        <v>1805</v>
      </c>
      <c r="G170">
        <v>2365</v>
      </c>
      <c r="H170">
        <v>1920</v>
      </c>
    </row>
    <row r="171" spans="4:8">
      <c r="D171" s="15">
        <v>124345</v>
      </c>
      <c r="E171">
        <v>2380</v>
      </c>
      <c r="F171">
        <v>1805</v>
      </c>
      <c r="G171">
        <v>2365</v>
      </c>
      <c r="H171">
        <v>1915</v>
      </c>
    </row>
    <row r="172" spans="4:8">
      <c r="D172" s="15">
        <v>124350</v>
      </c>
      <c r="E172">
        <v>2380</v>
      </c>
      <c r="F172">
        <v>1805</v>
      </c>
      <c r="G172">
        <v>2365</v>
      </c>
      <c r="H172">
        <v>1920</v>
      </c>
    </row>
    <row r="173" spans="4:8">
      <c r="D173" s="15">
        <v>124355</v>
      </c>
      <c r="E173">
        <v>2380</v>
      </c>
      <c r="F173">
        <v>1805</v>
      </c>
      <c r="G173">
        <v>2365</v>
      </c>
      <c r="H173">
        <v>1920</v>
      </c>
    </row>
    <row r="174" spans="4:8">
      <c r="D174" s="15">
        <v>124400</v>
      </c>
      <c r="E174">
        <v>2380</v>
      </c>
      <c r="F174">
        <v>1805</v>
      </c>
      <c r="G174">
        <v>2365</v>
      </c>
      <c r="H174">
        <v>1915</v>
      </c>
    </row>
    <row r="175" spans="4:8">
      <c r="D175" s="15">
        <v>124405</v>
      </c>
      <c r="E175">
        <v>2380</v>
      </c>
      <c r="F175">
        <v>1805</v>
      </c>
      <c r="G175">
        <v>2365</v>
      </c>
      <c r="H175">
        <v>1915</v>
      </c>
    </row>
    <row r="176" spans="4:8">
      <c r="D176" s="15">
        <v>124410</v>
      </c>
      <c r="E176">
        <v>2380</v>
      </c>
      <c r="F176">
        <v>1805</v>
      </c>
      <c r="G176">
        <v>2365</v>
      </c>
      <c r="H176">
        <v>1920</v>
      </c>
    </row>
    <row r="177" spans="4:8">
      <c r="D177" s="15">
        <v>124415</v>
      </c>
      <c r="E177">
        <v>2380</v>
      </c>
      <c r="F177">
        <v>1805</v>
      </c>
      <c r="G177">
        <v>2365</v>
      </c>
      <c r="H177">
        <v>1915</v>
      </c>
    </row>
    <row r="178" spans="4:8">
      <c r="D178" s="15">
        <v>124420</v>
      </c>
      <c r="E178">
        <v>2380</v>
      </c>
      <c r="F178">
        <v>1810</v>
      </c>
      <c r="G178">
        <v>2370</v>
      </c>
      <c r="H178">
        <v>1915</v>
      </c>
    </row>
    <row r="179" spans="4:8">
      <c r="D179" s="15">
        <v>124425</v>
      </c>
      <c r="E179">
        <v>2380</v>
      </c>
      <c r="F179">
        <v>1805</v>
      </c>
      <c r="G179">
        <v>2370</v>
      </c>
      <c r="H179">
        <v>1920</v>
      </c>
    </row>
    <row r="180" spans="4:8">
      <c r="D180" s="15">
        <v>124430</v>
      </c>
      <c r="E180">
        <v>2380</v>
      </c>
      <c r="F180">
        <v>1810</v>
      </c>
      <c r="G180">
        <v>2370</v>
      </c>
      <c r="H180">
        <v>1915</v>
      </c>
    </row>
    <row r="181" spans="4:8">
      <c r="D181" s="15">
        <v>124435</v>
      </c>
      <c r="E181">
        <v>2380</v>
      </c>
      <c r="F181">
        <v>1810</v>
      </c>
      <c r="G181">
        <v>2370</v>
      </c>
      <c r="H181">
        <v>1920</v>
      </c>
    </row>
    <row r="182" spans="4:8">
      <c r="D182" s="15">
        <v>124440</v>
      </c>
      <c r="E182">
        <v>2380</v>
      </c>
      <c r="F182">
        <v>1805</v>
      </c>
      <c r="G182">
        <v>2375</v>
      </c>
      <c r="H182">
        <v>1920</v>
      </c>
    </row>
    <row r="183" spans="4:8">
      <c r="D183" s="15">
        <v>124445</v>
      </c>
      <c r="E183">
        <v>2380</v>
      </c>
      <c r="F183">
        <v>1805</v>
      </c>
      <c r="G183">
        <v>2375</v>
      </c>
      <c r="H183">
        <v>1920</v>
      </c>
    </row>
    <row r="184" spans="4:8">
      <c r="D184" s="15">
        <v>124450</v>
      </c>
      <c r="E184">
        <v>2380</v>
      </c>
      <c r="F184">
        <v>1805</v>
      </c>
      <c r="G184">
        <v>2375</v>
      </c>
      <c r="H184">
        <v>1915</v>
      </c>
    </row>
    <row r="185" spans="4:8">
      <c r="D185" s="15">
        <v>124455</v>
      </c>
      <c r="E185">
        <v>2380</v>
      </c>
      <c r="F185">
        <v>1805</v>
      </c>
      <c r="G185">
        <v>2375</v>
      </c>
      <c r="H185">
        <v>1920</v>
      </c>
    </row>
    <row r="186" spans="4:8">
      <c r="D186" s="15">
        <v>124500</v>
      </c>
      <c r="E186">
        <v>2380</v>
      </c>
      <c r="F186">
        <v>1805</v>
      </c>
      <c r="G186">
        <v>2375</v>
      </c>
      <c r="H186">
        <v>1920</v>
      </c>
    </row>
    <row r="187" spans="4:8">
      <c r="D187" s="15">
        <v>124505</v>
      </c>
      <c r="E187">
        <v>2380</v>
      </c>
      <c r="F187">
        <v>1805</v>
      </c>
      <c r="G187">
        <v>2375</v>
      </c>
      <c r="H187">
        <v>1920</v>
      </c>
    </row>
    <row r="188" spans="4:8">
      <c r="D188" s="15">
        <v>124510</v>
      </c>
      <c r="E188">
        <v>2380</v>
      </c>
      <c r="F188">
        <v>1805</v>
      </c>
      <c r="G188">
        <v>2375</v>
      </c>
      <c r="H188">
        <v>1920</v>
      </c>
    </row>
    <row r="189" spans="4:8">
      <c r="D189" s="15">
        <v>124515</v>
      </c>
      <c r="E189">
        <v>2380</v>
      </c>
      <c r="F189">
        <v>1805</v>
      </c>
      <c r="G189">
        <v>2375</v>
      </c>
      <c r="H189">
        <v>1920</v>
      </c>
    </row>
    <row r="190" spans="4:8">
      <c r="D190" s="15">
        <v>124520</v>
      </c>
      <c r="E190">
        <v>2380</v>
      </c>
      <c r="F190">
        <v>1810</v>
      </c>
      <c r="G190">
        <v>2375</v>
      </c>
      <c r="H190">
        <v>1920</v>
      </c>
    </row>
    <row r="191" spans="4:8">
      <c r="D191" s="15">
        <v>124525</v>
      </c>
      <c r="E191">
        <v>2380</v>
      </c>
      <c r="F191">
        <v>1805</v>
      </c>
      <c r="G191">
        <v>2375</v>
      </c>
      <c r="H191">
        <v>1915</v>
      </c>
    </row>
    <row r="192" spans="4:8">
      <c r="D192" s="15">
        <v>124530</v>
      </c>
      <c r="E192">
        <v>2380</v>
      </c>
      <c r="F192">
        <v>1805</v>
      </c>
      <c r="G192">
        <v>2375</v>
      </c>
      <c r="H192">
        <v>1915</v>
      </c>
    </row>
    <row r="193" spans="4:8">
      <c r="D193" s="15">
        <v>124535</v>
      </c>
      <c r="E193">
        <v>2380</v>
      </c>
      <c r="F193">
        <v>1810</v>
      </c>
      <c r="G193">
        <v>2375</v>
      </c>
      <c r="H193">
        <v>1920</v>
      </c>
    </row>
    <row r="194" spans="4:8">
      <c r="D194" s="15">
        <v>124540</v>
      </c>
      <c r="E194">
        <v>2380</v>
      </c>
      <c r="F194">
        <v>1810</v>
      </c>
      <c r="G194">
        <v>2375</v>
      </c>
      <c r="H194">
        <v>1920</v>
      </c>
    </row>
    <row r="195" spans="4:8">
      <c r="D195" s="15">
        <v>124545</v>
      </c>
      <c r="E195">
        <v>2380</v>
      </c>
      <c r="F195">
        <v>1805</v>
      </c>
      <c r="G195">
        <v>2375</v>
      </c>
      <c r="H195">
        <v>1915</v>
      </c>
    </row>
    <row r="196" spans="4:8">
      <c r="D196" s="15">
        <v>124550</v>
      </c>
      <c r="E196">
        <v>2380</v>
      </c>
      <c r="F196">
        <v>1810</v>
      </c>
      <c r="G196">
        <v>2375</v>
      </c>
      <c r="H196">
        <v>1920</v>
      </c>
    </row>
    <row r="197" spans="4:8">
      <c r="D197" s="15">
        <v>124555</v>
      </c>
      <c r="E197">
        <v>2380</v>
      </c>
      <c r="F197">
        <v>1805</v>
      </c>
      <c r="G197">
        <v>2375</v>
      </c>
      <c r="H197">
        <v>1920</v>
      </c>
    </row>
    <row r="198" spans="4:8">
      <c r="D198" s="15">
        <v>124600</v>
      </c>
      <c r="E198">
        <v>2380</v>
      </c>
      <c r="F198">
        <v>1810</v>
      </c>
      <c r="G198">
        <v>2375</v>
      </c>
      <c r="H198">
        <v>1920</v>
      </c>
    </row>
    <row r="199" spans="4:8">
      <c r="D199" s="15">
        <v>124605</v>
      </c>
      <c r="E199">
        <v>2380</v>
      </c>
      <c r="F199">
        <v>1805</v>
      </c>
      <c r="G199">
        <v>2375</v>
      </c>
      <c r="H199">
        <v>1915</v>
      </c>
    </row>
    <row r="200" spans="4:8">
      <c r="D200" s="15">
        <v>124610</v>
      </c>
      <c r="E200">
        <v>2375</v>
      </c>
      <c r="F200">
        <v>1805</v>
      </c>
      <c r="G200">
        <v>2375</v>
      </c>
      <c r="H200">
        <v>1920</v>
      </c>
    </row>
    <row r="201" spans="4:8">
      <c r="D201" s="15">
        <v>124615</v>
      </c>
      <c r="E201">
        <v>2375</v>
      </c>
      <c r="F201">
        <v>1805</v>
      </c>
      <c r="G201">
        <v>2375</v>
      </c>
      <c r="H201">
        <v>1920</v>
      </c>
    </row>
    <row r="202" spans="4:8">
      <c r="D202" s="15">
        <v>124620</v>
      </c>
      <c r="E202">
        <v>2375</v>
      </c>
      <c r="F202">
        <v>1805</v>
      </c>
      <c r="G202">
        <v>2375</v>
      </c>
      <c r="H202">
        <v>1920</v>
      </c>
    </row>
    <row r="203" spans="4:8">
      <c r="D203" s="15">
        <v>124625</v>
      </c>
      <c r="E203">
        <v>2375</v>
      </c>
      <c r="F203">
        <v>1805</v>
      </c>
      <c r="G203">
        <v>2375</v>
      </c>
      <c r="H203">
        <v>1920</v>
      </c>
    </row>
    <row r="204" spans="4:8">
      <c r="D204" s="15">
        <v>124630</v>
      </c>
      <c r="E204">
        <v>2375</v>
      </c>
      <c r="F204">
        <v>1810</v>
      </c>
      <c r="G204">
        <v>2375</v>
      </c>
      <c r="H204">
        <v>1915</v>
      </c>
    </row>
    <row r="205" spans="4:8">
      <c r="D205" s="15">
        <v>124635</v>
      </c>
      <c r="E205">
        <v>2375</v>
      </c>
      <c r="F205">
        <v>1810</v>
      </c>
      <c r="G205">
        <v>2375</v>
      </c>
      <c r="H205">
        <v>1920</v>
      </c>
    </row>
    <row r="206" spans="4:8">
      <c r="D206" s="15">
        <v>124640</v>
      </c>
      <c r="E206">
        <v>2375</v>
      </c>
      <c r="F206">
        <v>1810</v>
      </c>
      <c r="G206">
        <v>2375</v>
      </c>
      <c r="H206">
        <v>1920</v>
      </c>
    </row>
    <row r="207" spans="4:8">
      <c r="D207" s="15">
        <v>124645</v>
      </c>
      <c r="E207">
        <v>2375</v>
      </c>
      <c r="F207">
        <v>1805</v>
      </c>
      <c r="G207">
        <v>2375</v>
      </c>
      <c r="H207">
        <v>1920</v>
      </c>
    </row>
    <row r="208" spans="4:8">
      <c r="D208" s="15">
        <v>124650</v>
      </c>
      <c r="E208">
        <v>2375</v>
      </c>
      <c r="F208">
        <v>1805</v>
      </c>
      <c r="G208">
        <v>2375</v>
      </c>
      <c r="H208">
        <v>1920</v>
      </c>
    </row>
    <row r="209" spans="4:8">
      <c r="D209" s="15">
        <v>124655</v>
      </c>
      <c r="E209">
        <v>2375</v>
      </c>
      <c r="F209">
        <v>1805</v>
      </c>
      <c r="G209">
        <v>2375</v>
      </c>
      <c r="H209">
        <v>1920</v>
      </c>
    </row>
    <row r="210" spans="4:8">
      <c r="D210" s="15">
        <v>124700</v>
      </c>
      <c r="E210">
        <v>2375</v>
      </c>
      <c r="F210">
        <v>1810</v>
      </c>
      <c r="G210">
        <v>2375</v>
      </c>
      <c r="H210">
        <v>1920</v>
      </c>
    </row>
    <row r="211" spans="4:8">
      <c r="D211" s="15">
        <v>124705</v>
      </c>
      <c r="E211">
        <v>2375</v>
      </c>
      <c r="F211">
        <v>1805</v>
      </c>
      <c r="G211">
        <v>2375</v>
      </c>
      <c r="H211">
        <v>1920</v>
      </c>
    </row>
    <row r="212" spans="4:8">
      <c r="D212" s="15">
        <v>124710</v>
      </c>
      <c r="E212">
        <v>2375</v>
      </c>
      <c r="F212">
        <v>1805</v>
      </c>
      <c r="G212">
        <v>2375</v>
      </c>
      <c r="H212">
        <v>1920</v>
      </c>
    </row>
    <row r="213" spans="4:8">
      <c r="D213" s="15">
        <v>124715</v>
      </c>
      <c r="E213">
        <v>2375</v>
      </c>
      <c r="F213">
        <v>1810</v>
      </c>
      <c r="G213">
        <v>2370</v>
      </c>
      <c r="H213">
        <v>1915</v>
      </c>
    </row>
    <row r="214" spans="4:8">
      <c r="D214" s="15">
        <v>124720</v>
      </c>
      <c r="E214">
        <v>2375</v>
      </c>
      <c r="F214">
        <v>1810</v>
      </c>
      <c r="G214">
        <v>2370</v>
      </c>
      <c r="H214">
        <v>1920</v>
      </c>
    </row>
    <row r="215" spans="4:8">
      <c r="D215" s="15">
        <v>124725</v>
      </c>
      <c r="E215">
        <v>2375</v>
      </c>
      <c r="F215">
        <v>1805</v>
      </c>
      <c r="G215">
        <v>2370</v>
      </c>
      <c r="H215">
        <v>1920</v>
      </c>
    </row>
    <row r="216" spans="4:8">
      <c r="D216" s="15">
        <v>124730</v>
      </c>
      <c r="E216">
        <v>2375</v>
      </c>
      <c r="F216">
        <v>1805</v>
      </c>
      <c r="G216">
        <v>2370</v>
      </c>
      <c r="H216">
        <v>1920</v>
      </c>
    </row>
    <row r="217" spans="4:8">
      <c r="D217" s="15">
        <v>124735</v>
      </c>
      <c r="E217">
        <v>2375</v>
      </c>
      <c r="F217">
        <v>1805</v>
      </c>
      <c r="G217">
        <v>2370</v>
      </c>
      <c r="H217">
        <v>1920</v>
      </c>
    </row>
    <row r="218" spans="4:8">
      <c r="D218" s="15">
        <v>124740</v>
      </c>
      <c r="E218">
        <v>2375</v>
      </c>
      <c r="F218">
        <v>1805</v>
      </c>
      <c r="G218">
        <v>2370</v>
      </c>
      <c r="H218">
        <v>1915</v>
      </c>
    </row>
    <row r="219" spans="4:8">
      <c r="D219" s="15">
        <v>124745</v>
      </c>
      <c r="E219">
        <v>2375</v>
      </c>
      <c r="F219">
        <v>1805</v>
      </c>
      <c r="G219">
        <v>2370</v>
      </c>
      <c r="H219">
        <v>1915</v>
      </c>
    </row>
    <row r="220" spans="4:8">
      <c r="D220" s="15">
        <v>124750</v>
      </c>
      <c r="E220">
        <v>2375</v>
      </c>
      <c r="F220">
        <v>1805</v>
      </c>
      <c r="G220">
        <v>2375</v>
      </c>
      <c r="H220">
        <v>1920</v>
      </c>
    </row>
    <row r="221" spans="4:8">
      <c r="D221" s="15">
        <v>124755</v>
      </c>
      <c r="E221">
        <v>2375</v>
      </c>
      <c r="F221">
        <v>1805</v>
      </c>
      <c r="G221">
        <v>2375</v>
      </c>
      <c r="H221">
        <v>1915</v>
      </c>
    </row>
    <row r="222" spans="4:8">
      <c r="D222" s="15">
        <v>124800</v>
      </c>
      <c r="E222">
        <v>2375</v>
      </c>
      <c r="F222">
        <v>1805</v>
      </c>
      <c r="G222">
        <v>2375</v>
      </c>
      <c r="H222">
        <v>1920</v>
      </c>
    </row>
    <row r="223" spans="4:8">
      <c r="D223" s="15">
        <v>124805</v>
      </c>
      <c r="E223">
        <v>2375</v>
      </c>
      <c r="F223">
        <v>1805</v>
      </c>
      <c r="G223">
        <v>2375</v>
      </c>
      <c r="H223">
        <v>1920</v>
      </c>
    </row>
    <row r="224" spans="4:8">
      <c r="D224" s="15">
        <v>124810</v>
      </c>
      <c r="E224">
        <v>2375</v>
      </c>
      <c r="F224">
        <v>1810</v>
      </c>
      <c r="G224">
        <v>2375</v>
      </c>
      <c r="H224">
        <v>1915</v>
      </c>
    </row>
    <row r="225" spans="4:8">
      <c r="D225" s="15">
        <v>124815</v>
      </c>
      <c r="E225">
        <v>2375</v>
      </c>
      <c r="F225">
        <v>1810</v>
      </c>
      <c r="G225">
        <v>2375</v>
      </c>
      <c r="H225">
        <v>1915</v>
      </c>
    </row>
    <row r="226" spans="4:8">
      <c r="D226" s="15">
        <v>124820</v>
      </c>
      <c r="E226">
        <v>2375</v>
      </c>
      <c r="F226">
        <v>1810</v>
      </c>
      <c r="G226">
        <v>2375</v>
      </c>
      <c r="H226">
        <v>1920</v>
      </c>
    </row>
    <row r="227" spans="4:8">
      <c r="D227" s="15">
        <v>124825</v>
      </c>
      <c r="E227">
        <v>2375</v>
      </c>
      <c r="F227">
        <v>1805</v>
      </c>
      <c r="G227">
        <v>2375</v>
      </c>
      <c r="H227">
        <v>1915</v>
      </c>
    </row>
    <row r="228" spans="4:8">
      <c r="D228" s="15">
        <v>124830</v>
      </c>
      <c r="E228">
        <v>2375</v>
      </c>
      <c r="F228">
        <v>1810</v>
      </c>
      <c r="G228">
        <v>2375</v>
      </c>
      <c r="H228">
        <v>1920</v>
      </c>
    </row>
    <row r="229" spans="4:8">
      <c r="D229" s="15">
        <v>124835</v>
      </c>
      <c r="E229">
        <v>2375</v>
      </c>
      <c r="F229">
        <v>1805</v>
      </c>
      <c r="G229">
        <v>2375</v>
      </c>
      <c r="H229">
        <v>1920</v>
      </c>
    </row>
    <row r="230" spans="4:8">
      <c r="D230" s="15">
        <v>124840</v>
      </c>
      <c r="E230">
        <v>2380</v>
      </c>
      <c r="F230">
        <v>1805</v>
      </c>
      <c r="G230">
        <v>2375</v>
      </c>
      <c r="H230">
        <v>1915</v>
      </c>
    </row>
    <row r="231" spans="4:8">
      <c r="D231" s="15">
        <v>124845</v>
      </c>
      <c r="E231">
        <v>2380</v>
      </c>
      <c r="F231">
        <v>1805</v>
      </c>
      <c r="G231">
        <v>2375</v>
      </c>
      <c r="H231">
        <v>1920</v>
      </c>
    </row>
    <row r="232" spans="4:8">
      <c r="D232" s="15">
        <v>124850</v>
      </c>
      <c r="E232">
        <v>2380</v>
      </c>
      <c r="F232">
        <v>1805</v>
      </c>
      <c r="G232">
        <v>2370</v>
      </c>
      <c r="H232">
        <v>1920</v>
      </c>
    </row>
    <row r="233" spans="4:8">
      <c r="D233" s="15">
        <v>124855</v>
      </c>
      <c r="E233">
        <v>2380</v>
      </c>
      <c r="F233">
        <v>1805</v>
      </c>
      <c r="G233">
        <v>2370</v>
      </c>
      <c r="H233">
        <v>1920</v>
      </c>
    </row>
    <row r="234" spans="4:8">
      <c r="D234" s="15">
        <v>124900</v>
      </c>
      <c r="E234">
        <v>2375</v>
      </c>
      <c r="F234">
        <v>1805</v>
      </c>
      <c r="G234">
        <v>2370</v>
      </c>
      <c r="H234">
        <v>1920</v>
      </c>
    </row>
    <row r="235" spans="4:8">
      <c r="D235" s="15">
        <v>124905</v>
      </c>
      <c r="E235">
        <v>2375</v>
      </c>
      <c r="F235">
        <v>1805</v>
      </c>
      <c r="G235">
        <v>2370</v>
      </c>
      <c r="H235">
        <v>1920</v>
      </c>
    </row>
    <row r="236" spans="4:8">
      <c r="D236" s="15">
        <v>124910</v>
      </c>
      <c r="E236">
        <v>2375</v>
      </c>
      <c r="F236">
        <v>1805</v>
      </c>
      <c r="G236">
        <v>2370</v>
      </c>
      <c r="H236">
        <v>1915</v>
      </c>
    </row>
    <row r="237" spans="4:8">
      <c r="D237" s="15">
        <v>124915</v>
      </c>
      <c r="E237">
        <v>2375</v>
      </c>
      <c r="F237">
        <v>1805</v>
      </c>
      <c r="G237">
        <v>2370</v>
      </c>
      <c r="H237">
        <v>1920</v>
      </c>
    </row>
    <row r="238" spans="4:8">
      <c r="D238" s="15">
        <v>124920</v>
      </c>
      <c r="E238">
        <v>2375</v>
      </c>
      <c r="F238">
        <v>1810</v>
      </c>
      <c r="G238">
        <v>2370</v>
      </c>
      <c r="H238">
        <v>1920</v>
      </c>
    </row>
    <row r="239" spans="4:8">
      <c r="D239" s="15">
        <v>124925</v>
      </c>
      <c r="E239">
        <v>2375</v>
      </c>
      <c r="F239">
        <v>1805</v>
      </c>
      <c r="G239">
        <v>2370</v>
      </c>
      <c r="H239">
        <v>1920</v>
      </c>
    </row>
    <row r="240" spans="4:8">
      <c r="D240" s="15">
        <v>124930</v>
      </c>
      <c r="E240">
        <v>2375</v>
      </c>
      <c r="F240">
        <v>1810</v>
      </c>
      <c r="G240">
        <v>2370</v>
      </c>
      <c r="H240">
        <v>1920</v>
      </c>
    </row>
    <row r="241" spans="4:8">
      <c r="D241" s="15">
        <v>124935</v>
      </c>
      <c r="E241">
        <v>2375</v>
      </c>
      <c r="F241">
        <v>1810</v>
      </c>
      <c r="G241">
        <v>2370</v>
      </c>
      <c r="H241">
        <v>1920</v>
      </c>
    </row>
    <row r="242" spans="4:8">
      <c r="D242" s="15">
        <v>124940</v>
      </c>
      <c r="E242">
        <v>2375</v>
      </c>
      <c r="F242">
        <v>1810</v>
      </c>
      <c r="G242">
        <v>2370</v>
      </c>
      <c r="H242">
        <v>1915</v>
      </c>
    </row>
    <row r="243" spans="4:8">
      <c r="D243" s="15">
        <v>124945</v>
      </c>
      <c r="E243">
        <v>2375</v>
      </c>
      <c r="F243">
        <v>1805</v>
      </c>
      <c r="G243">
        <v>2370</v>
      </c>
      <c r="H243">
        <v>1920</v>
      </c>
    </row>
    <row r="244" spans="4:8">
      <c r="D244" s="15">
        <v>124950</v>
      </c>
      <c r="E244">
        <v>2375</v>
      </c>
      <c r="F244">
        <v>1805</v>
      </c>
      <c r="G244">
        <v>2370</v>
      </c>
      <c r="H244">
        <v>1920</v>
      </c>
    </row>
    <row r="245" spans="4:8">
      <c r="D245" s="15">
        <v>124955</v>
      </c>
      <c r="E245">
        <v>2375</v>
      </c>
      <c r="F245">
        <v>1805</v>
      </c>
      <c r="G245">
        <v>2370</v>
      </c>
      <c r="H245">
        <v>1920</v>
      </c>
    </row>
    <row r="246" spans="4:8">
      <c r="D246" s="15">
        <v>125000</v>
      </c>
      <c r="E246">
        <v>2375</v>
      </c>
      <c r="F246">
        <v>1805</v>
      </c>
      <c r="G246">
        <v>2370</v>
      </c>
      <c r="H246">
        <v>1920</v>
      </c>
    </row>
    <row r="247" spans="4:8">
      <c r="D247" s="15">
        <v>125005</v>
      </c>
      <c r="E247">
        <v>2370</v>
      </c>
      <c r="F247">
        <v>1805</v>
      </c>
      <c r="G247">
        <v>2370</v>
      </c>
      <c r="H247">
        <v>1920</v>
      </c>
    </row>
    <row r="248" spans="4:8">
      <c r="D248" s="15">
        <v>125010</v>
      </c>
      <c r="E248">
        <v>2370</v>
      </c>
      <c r="F248">
        <v>1805</v>
      </c>
      <c r="G248">
        <v>2370</v>
      </c>
      <c r="H248">
        <v>1920</v>
      </c>
    </row>
    <row r="249" spans="4:8">
      <c r="D249" s="15">
        <v>125015</v>
      </c>
      <c r="E249">
        <v>2375</v>
      </c>
      <c r="F249">
        <v>1805</v>
      </c>
      <c r="G249">
        <v>2370</v>
      </c>
      <c r="H249">
        <v>1915</v>
      </c>
    </row>
    <row r="250" spans="4:8">
      <c r="D250" s="15">
        <v>125020</v>
      </c>
      <c r="E250">
        <v>2375</v>
      </c>
      <c r="F250">
        <v>1810</v>
      </c>
      <c r="G250">
        <v>2370</v>
      </c>
      <c r="H250">
        <v>1920</v>
      </c>
    </row>
    <row r="251" spans="4:8">
      <c r="D251" s="15">
        <v>125025</v>
      </c>
      <c r="E251">
        <v>2375</v>
      </c>
      <c r="F251">
        <v>1805</v>
      </c>
      <c r="G251">
        <v>2370</v>
      </c>
      <c r="H251">
        <v>1920</v>
      </c>
    </row>
    <row r="252" spans="4:8">
      <c r="D252" s="15">
        <v>125030</v>
      </c>
      <c r="E252">
        <v>2375</v>
      </c>
      <c r="F252">
        <v>1805</v>
      </c>
      <c r="G252">
        <v>2370</v>
      </c>
      <c r="H252">
        <v>1920</v>
      </c>
    </row>
    <row r="253" spans="4:8">
      <c r="D253" s="15">
        <v>125035</v>
      </c>
      <c r="E253">
        <v>2375</v>
      </c>
      <c r="F253">
        <v>1805</v>
      </c>
      <c r="G253">
        <v>2370</v>
      </c>
      <c r="H253">
        <v>1920</v>
      </c>
    </row>
    <row r="254" spans="4:8">
      <c r="D254" s="15">
        <v>125040</v>
      </c>
      <c r="E254">
        <v>2375</v>
      </c>
      <c r="F254">
        <v>1810</v>
      </c>
      <c r="G254">
        <v>2370</v>
      </c>
      <c r="H254">
        <v>1920</v>
      </c>
    </row>
    <row r="255" spans="4:8">
      <c r="D255" s="15">
        <v>125045</v>
      </c>
      <c r="E255">
        <v>2375</v>
      </c>
      <c r="F255">
        <v>1805</v>
      </c>
      <c r="G255">
        <v>2370</v>
      </c>
      <c r="H255">
        <v>1920</v>
      </c>
    </row>
    <row r="256" spans="4:8">
      <c r="D256" s="15">
        <v>125050</v>
      </c>
      <c r="E256">
        <v>2375</v>
      </c>
      <c r="F256">
        <v>1810</v>
      </c>
      <c r="G256">
        <v>2370</v>
      </c>
      <c r="H256">
        <v>1920</v>
      </c>
    </row>
    <row r="257" spans="4:8">
      <c r="D257" s="15">
        <v>125055</v>
      </c>
      <c r="E257">
        <v>2375</v>
      </c>
      <c r="F257">
        <v>1810</v>
      </c>
      <c r="G257">
        <v>2370</v>
      </c>
      <c r="H257">
        <v>1920</v>
      </c>
    </row>
    <row r="258" spans="4:8">
      <c r="D258" s="15">
        <v>125100</v>
      </c>
      <c r="E258">
        <v>2375</v>
      </c>
      <c r="F258">
        <v>1810</v>
      </c>
      <c r="G258">
        <v>2375</v>
      </c>
      <c r="H258">
        <v>1920</v>
      </c>
    </row>
    <row r="259" spans="4:8">
      <c r="D259" s="15">
        <v>125105</v>
      </c>
      <c r="E259">
        <v>2375</v>
      </c>
      <c r="F259">
        <v>1805</v>
      </c>
      <c r="G259">
        <v>2375</v>
      </c>
      <c r="H259">
        <v>1920</v>
      </c>
    </row>
    <row r="260" spans="4:8">
      <c r="D260" s="15">
        <v>125110</v>
      </c>
      <c r="E260">
        <v>2375</v>
      </c>
      <c r="F260">
        <v>1805</v>
      </c>
      <c r="G260">
        <v>2375</v>
      </c>
      <c r="H260">
        <v>1920</v>
      </c>
    </row>
    <row r="261" spans="4:8">
      <c r="D261" s="15">
        <v>125115</v>
      </c>
      <c r="E261">
        <v>2375</v>
      </c>
      <c r="F261">
        <v>1805</v>
      </c>
      <c r="G261">
        <v>2375</v>
      </c>
      <c r="H261">
        <v>1920</v>
      </c>
    </row>
    <row r="262" spans="4:8">
      <c r="D262" s="15">
        <v>125120</v>
      </c>
      <c r="E262">
        <v>2375</v>
      </c>
      <c r="F262">
        <v>1805</v>
      </c>
      <c r="G262">
        <v>2375</v>
      </c>
      <c r="H262">
        <v>1920</v>
      </c>
    </row>
    <row r="263" spans="4:8">
      <c r="D263" s="15">
        <v>125125</v>
      </c>
      <c r="E263">
        <v>2375</v>
      </c>
      <c r="F263">
        <v>1805</v>
      </c>
      <c r="G263">
        <v>2375</v>
      </c>
      <c r="H263">
        <v>1920</v>
      </c>
    </row>
    <row r="264" spans="4:8">
      <c r="D264" s="15">
        <v>125130</v>
      </c>
      <c r="E264">
        <v>2375</v>
      </c>
      <c r="F264">
        <v>1810</v>
      </c>
      <c r="G264">
        <v>2375</v>
      </c>
      <c r="H264">
        <v>1920</v>
      </c>
    </row>
    <row r="265" spans="4:8">
      <c r="D265" s="15">
        <v>125135</v>
      </c>
      <c r="E265">
        <v>2375</v>
      </c>
      <c r="F265">
        <v>1810</v>
      </c>
      <c r="G265">
        <v>2375</v>
      </c>
      <c r="H265">
        <v>1920</v>
      </c>
    </row>
    <row r="266" spans="4:8">
      <c r="D266" s="15">
        <v>125140</v>
      </c>
      <c r="E266">
        <v>2375</v>
      </c>
      <c r="F266">
        <v>1810</v>
      </c>
      <c r="G266">
        <v>2375</v>
      </c>
      <c r="H266">
        <v>1920</v>
      </c>
    </row>
    <row r="267" spans="4:8">
      <c r="D267" s="15">
        <v>125145</v>
      </c>
      <c r="E267">
        <v>2375</v>
      </c>
      <c r="F267">
        <v>1810</v>
      </c>
      <c r="G267">
        <v>2375</v>
      </c>
      <c r="H267">
        <v>1920</v>
      </c>
    </row>
    <row r="268" spans="4:8">
      <c r="D268" s="15">
        <v>125150</v>
      </c>
      <c r="E268">
        <v>2375</v>
      </c>
      <c r="F268">
        <v>1810</v>
      </c>
      <c r="G268">
        <v>2375</v>
      </c>
      <c r="H268">
        <v>1920</v>
      </c>
    </row>
    <row r="269" spans="4:8">
      <c r="D269" s="15">
        <v>125155</v>
      </c>
      <c r="E269">
        <v>2375</v>
      </c>
      <c r="F269">
        <v>1810</v>
      </c>
      <c r="G269">
        <v>2375</v>
      </c>
      <c r="H269">
        <v>1915</v>
      </c>
    </row>
    <row r="270" spans="4:8">
      <c r="D270" s="15">
        <v>125200</v>
      </c>
      <c r="E270">
        <v>2375</v>
      </c>
      <c r="F270">
        <v>1810</v>
      </c>
      <c r="G270">
        <v>2375</v>
      </c>
      <c r="H270">
        <v>1920</v>
      </c>
    </row>
    <row r="271" spans="4:8">
      <c r="D271" s="15">
        <v>125205</v>
      </c>
      <c r="E271">
        <v>2375</v>
      </c>
      <c r="F271">
        <v>1805</v>
      </c>
      <c r="G271">
        <v>2375</v>
      </c>
      <c r="H271">
        <v>1920</v>
      </c>
    </row>
    <row r="272" spans="4:8">
      <c r="D272" s="15">
        <v>125210</v>
      </c>
      <c r="E272">
        <v>2375</v>
      </c>
      <c r="F272">
        <v>1805</v>
      </c>
      <c r="G272">
        <v>2375</v>
      </c>
      <c r="H272">
        <v>1920</v>
      </c>
    </row>
    <row r="273" spans="4:8">
      <c r="D273" s="15">
        <v>125215</v>
      </c>
      <c r="E273">
        <v>2375</v>
      </c>
      <c r="F273">
        <v>1810</v>
      </c>
      <c r="G273">
        <v>2375</v>
      </c>
      <c r="H273">
        <v>1920</v>
      </c>
    </row>
    <row r="274" spans="4:8">
      <c r="D274" s="15">
        <v>125220</v>
      </c>
      <c r="E274">
        <v>2375</v>
      </c>
      <c r="F274">
        <v>1810</v>
      </c>
      <c r="G274">
        <v>2375</v>
      </c>
      <c r="H274">
        <v>1920</v>
      </c>
    </row>
    <row r="275" spans="4:8">
      <c r="D275" s="15">
        <v>125225</v>
      </c>
      <c r="E275">
        <v>2375</v>
      </c>
      <c r="F275">
        <v>1805</v>
      </c>
      <c r="G275">
        <v>2375</v>
      </c>
      <c r="H275">
        <v>1920</v>
      </c>
    </row>
    <row r="276" spans="4:8">
      <c r="D276" s="15">
        <v>125230</v>
      </c>
      <c r="E276">
        <v>2375</v>
      </c>
      <c r="F276">
        <v>1805</v>
      </c>
      <c r="G276">
        <v>2375</v>
      </c>
      <c r="H276">
        <v>1920</v>
      </c>
    </row>
    <row r="277" spans="4:8">
      <c r="D277" s="15">
        <v>125235</v>
      </c>
      <c r="E277">
        <v>2380</v>
      </c>
      <c r="F277">
        <v>1805</v>
      </c>
      <c r="G277">
        <v>2380</v>
      </c>
      <c r="H277">
        <v>1920</v>
      </c>
    </row>
    <row r="278" spans="4:8">
      <c r="D278" s="15">
        <v>125240</v>
      </c>
      <c r="E278">
        <v>2380</v>
      </c>
      <c r="F278">
        <v>1810</v>
      </c>
      <c r="G278">
        <v>2380</v>
      </c>
      <c r="H278">
        <v>1920</v>
      </c>
    </row>
    <row r="279" spans="4:8">
      <c r="D279" s="15">
        <v>125245</v>
      </c>
      <c r="E279">
        <v>2380</v>
      </c>
      <c r="F279">
        <v>1805</v>
      </c>
      <c r="G279">
        <v>2380</v>
      </c>
      <c r="H279">
        <v>1920</v>
      </c>
    </row>
    <row r="280" spans="4:8">
      <c r="D280" s="15">
        <v>125250</v>
      </c>
      <c r="E280">
        <v>2380</v>
      </c>
      <c r="F280">
        <v>1810</v>
      </c>
      <c r="G280">
        <v>2380</v>
      </c>
      <c r="H280">
        <v>1920</v>
      </c>
    </row>
    <row r="281" spans="4:8">
      <c r="D281" s="15">
        <v>125255</v>
      </c>
      <c r="E281">
        <v>2380</v>
      </c>
      <c r="F281">
        <v>1810</v>
      </c>
      <c r="G281">
        <v>2380</v>
      </c>
      <c r="H281">
        <v>1920</v>
      </c>
    </row>
    <row r="282" spans="4:8">
      <c r="D282" s="15">
        <v>125300</v>
      </c>
      <c r="E282">
        <v>2380</v>
      </c>
      <c r="F282">
        <v>1805</v>
      </c>
      <c r="G282">
        <v>2380</v>
      </c>
      <c r="H282">
        <v>1920</v>
      </c>
    </row>
    <row r="283" spans="4:8">
      <c r="D283" s="15">
        <v>125305</v>
      </c>
      <c r="E283">
        <v>2380</v>
      </c>
      <c r="F283">
        <v>1805</v>
      </c>
      <c r="G283">
        <v>2380</v>
      </c>
      <c r="H283">
        <v>1920</v>
      </c>
    </row>
    <row r="284" spans="4:8">
      <c r="D284" s="15">
        <v>125310</v>
      </c>
      <c r="E284">
        <v>2380</v>
      </c>
      <c r="F284">
        <v>1805</v>
      </c>
      <c r="G284">
        <v>2380</v>
      </c>
      <c r="H284">
        <v>1920</v>
      </c>
    </row>
    <row r="285" spans="4:8">
      <c r="D285" s="15">
        <v>125315</v>
      </c>
      <c r="E285">
        <v>2380</v>
      </c>
      <c r="F285">
        <v>1810</v>
      </c>
      <c r="G285">
        <v>2380</v>
      </c>
      <c r="H285">
        <v>1920</v>
      </c>
    </row>
    <row r="286" spans="4:8">
      <c r="D286" s="15">
        <v>125320</v>
      </c>
      <c r="E286">
        <v>2380</v>
      </c>
      <c r="F286">
        <v>1810</v>
      </c>
      <c r="G286">
        <v>2380</v>
      </c>
      <c r="H286">
        <v>1920</v>
      </c>
    </row>
    <row r="287" spans="4:8">
      <c r="D287" s="15">
        <v>125325</v>
      </c>
      <c r="E287">
        <v>2380</v>
      </c>
      <c r="F287">
        <v>1805</v>
      </c>
      <c r="G287">
        <v>2380</v>
      </c>
      <c r="H287">
        <v>1915</v>
      </c>
    </row>
    <row r="288" spans="4:8">
      <c r="D288" s="15">
        <v>125330</v>
      </c>
      <c r="E288">
        <v>2380</v>
      </c>
      <c r="F288">
        <v>1810</v>
      </c>
      <c r="G288">
        <v>2380</v>
      </c>
      <c r="H288">
        <v>1920</v>
      </c>
    </row>
    <row r="289" spans="4:8">
      <c r="D289" s="15">
        <v>125335</v>
      </c>
      <c r="E289">
        <v>2380</v>
      </c>
      <c r="F289">
        <v>1810</v>
      </c>
      <c r="G289">
        <v>2380</v>
      </c>
      <c r="H289">
        <v>1920</v>
      </c>
    </row>
    <row r="290" spans="4:8">
      <c r="D290" s="15">
        <v>125340</v>
      </c>
      <c r="E290">
        <v>2380</v>
      </c>
      <c r="F290">
        <v>1805</v>
      </c>
      <c r="G290">
        <v>2380</v>
      </c>
      <c r="H290">
        <v>1920</v>
      </c>
    </row>
    <row r="291" spans="4:8">
      <c r="D291" s="15">
        <v>125345</v>
      </c>
      <c r="E291">
        <v>2380</v>
      </c>
      <c r="F291">
        <v>1805</v>
      </c>
      <c r="G291">
        <v>2380</v>
      </c>
      <c r="H291">
        <v>1920</v>
      </c>
    </row>
    <row r="292" spans="4:8">
      <c r="D292" s="15">
        <v>125350</v>
      </c>
      <c r="E292">
        <v>2380</v>
      </c>
      <c r="F292">
        <v>1805</v>
      </c>
      <c r="G292">
        <v>2380</v>
      </c>
      <c r="H292">
        <v>1920</v>
      </c>
    </row>
    <row r="293" spans="4:8">
      <c r="D293" s="15">
        <v>125355</v>
      </c>
      <c r="E293">
        <v>2380</v>
      </c>
      <c r="F293">
        <v>1805</v>
      </c>
      <c r="G293">
        <v>2380</v>
      </c>
      <c r="H293">
        <v>1920</v>
      </c>
    </row>
    <row r="294" spans="4:8">
      <c r="D294" s="15">
        <v>125400</v>
      </c>
      <c r="E294">
        <v>2380</v>
      </c>
      <c r="F294">
        <v>1805</v>
      </c>
      <c r="G294">
        <v>2380</v>
      </c>
      <c r="H294">
        <v>1920</v>
      </c>
    </row>
    <row r="295" spans="4:8">
      <c r="D295" s="15">
        <v>125405</v>
      </c>
      <c r="E295">
        <v>2375</v>
      </c>
      <c r="F295">
        <v>1805</v>
      </c>
      <c r="G295">
        <v>2380</v>
      </c>
      <c r="H295">
        <v>1920</v>
      </c>
    </row>
    <row r="296" spans="4:8">
      <c r="D296" s="15">
        <v>125410</v>
      </c>
      <c r="E296">
        <v>2375</v>
      </c>
      <c r="F296">
        <v>1805</v>
      </c>
      <c r="G296">
        <v>2380</v>
      </c>
      <c r="H296">
        <v>1915</v>
      </c>
    </row>
    <row r="297" spans="4:8">
      <c r="D297" s="15">
        <v>125415</v>
      </c>
      <c r="E297">
        <v>2375</v>
      </c>
      <c r="F297">
        <v>1810</v>
      </c>
      <c r="G297">
        <v>2380</v>
      </c>
      <c r="H297">
        <v>1920</v>
      </c>
    </row>
    <row r="298" spans="4:8">
      <c r="D298" s="15">
        <v>125420</v>
      </c>
      <c r="E298">
        <v>2375</v>
      </c>
      <c r="F298">
        <v>1805</v>
      </c>
      <c r="G298">
        <v>2380</v>
      </c>
      <c r="H298">
        <v>1920</v>
      </c>
    </row>
    <row r="299" spans="4:8">
      <c r="D299" s="15">
        <v>125425</v>
      </c>
      <c r="E299">
        <v>2375</v>
      </c>
      <c r="F299">
        <v>1805</v>
      </c>
      <c r="G299">
        <v>2385</v>
      </c>
      <c r="H299">
        <v>1920</v>
      </c>
    </row>
    <row r="300" spans="4:8">
      <c r="D300" s="15">
        <v>125430</v>
      </c>
      <c r="E300">
        <v>2375</v>
      </c>
      <c r="F300">
        <v>1810</v>
      </c>
      <c r="G300">
        <v>2385</v>
      </c>
      <c r="H300">
        <v>1920</v>
      </c>
    </row>
    <row r="301" spans="4:8">
      <c r="D301" s="15">
        <v>125435</v>
      </c>
      <c r="E301">
        <v>2375</v>
      </c>
      <c r="F301">
        <v>1805</v>
      </c>
      <c r="G301">
        <v>2385</v>
      </c>
      <c r="H301">
        <v>1920</v>
      </c>
    </row>
    <row r="302" spans="4:8">
      <c r="D302" s="15">
        <v>125440</v>
      </c>
      <c r="E302">
        <v>2375</v>
      </c>
      <c r="F302">
        <v>1805</v>
      </c>
      <c r="G302">
        <v>2385</v>
      </c>
      <c r="H302">
        <v>1915</v>
      </c>
    </row>
    <row r="303" spans="4:8">
      <c r="D303" s="15">
        <v>125445</v>
      </c>
      <c r="E303">
        <v>2375</v>
      </c>
      <c r="F303">
        <v>1805</v>
      </c>
      <c r="G303">
        <v>2380</v>
      </c>
      <c r="H303">
        <v>1920</v>
      </c>
    </row>
    <row r="304" spans="4:8">
      <c r="D304" s="15">
        <v>125450</v>
      </c>
      <c r="E304">
        <v>2380</v>
      </c>
      <c r="F304">
        <v>1810</v>
      </c>
      <c r="G304">
        <v>2380</v>
      </c>
      <c r="H304">
        <v>1920</v>
      </c>
    </row>
    <row r="305" spans="4:8">
      <c r="D305" s="15">
        <v>125455</v>
      </c>
      <c r="E305">
        <v>2380</v>
      </c>
      <c r="F305">
        <v>1805</v>
      </c>
      <c r="G305">
        <v>2380</v>
      </c>
      <c r="H305">
        <v>1915</v>
      </c>
    </row>
    <row r="306" spans="4:8">
      <c r="D306" s="15">
        <v>125500</v>
      </c>
      <c r="E306">
        <v>2380</v>
      </c>
      <c r="F306">
        <v>1810</v>
      </c>
      <c r="G306">
        <v>2380</v>
      </c>
      <c r="H306">
        <v>1920</v>
      </c>
    </row>
    <row r="307" spans="4:8">
      <c r="D307" s="15">
        <v>125505</v>
      </c>
      <c r="E307">
        <v>2375</v>
      </c>
      <c r="F307">
        <v>1805</v>
      </c>
      <c r="G307">
        <v>2380</v>
      </c>
      <c r="H307">
        <v>1920</v>
      </c>
    </row>
    <row r="308" spans="4:8">
      <c r="D308" s="15">
        <v>125510</v>
      </c>
      <c r="E308">
        <v>2375</v>
      </c>
      <c r="F308">
        <v>1805</v>
      </c>
      <c r="G308">
        <v>2380</v>
      </c>
      <c r="H308">
        <v>1920</v>
      </c>
    </row>
    <row r="309" spans="4:8">
      <c r="D309" s="15">
        <v>125515</v>
      </c>
      <c r="E309">
        <v>2375</v>
      </c>
      <c r="F309">
        <v>1810</v>
      </c>
      <c r="G309">
        <v>2380</v>
      </c>
      <c r="H309">
        <v>1920</v>
      </c>
    </row>
    <row r="310" spans="4:8">
      <c r="D310" s="15">
        <v>125520</v>
      </c>
      <c r="E310">
        <v>2375</v>
      </c>
      <c r="F310">
        <v>1805</v>
      </c>
      <c r="G310">
        <v>2380</v>
      </c>
      <c r="H310">
        <v>1915</v>
      </c>
    </row>
    <row r="311" spans="4:8">
      <c r="D311" s="15">
        <v>125525</v>
      </c>
      <c r="E311">
        <v>2375</v>
      </c>
      <c r="F311">
        <v>1805</v>
      </c>
      <c r="G311">
        <v>2380</v>
      </c>
      <c r="H311">
        <v>1920</v>
      </c>
    </row>
    <row r="312" spans="4:8">
      <c r="D312" s="15">
        <v>125530</v>
      </c>
      <c r="E312">
        <v>2375</v>
      </c>
      <c r="F312">
        <v>1805</v>
      </c>
      <c r="G312">
        <v>2380</v>
      </c>
      <c r="H312">
        <v>1920</v>
      </c>
    </row>
    <row r="313" spans="4:8">
      <c r="D313" s="15">
        <v>125535</v>
      </c>
      <c r="E313">
        <v>2375</v>
      </c>
      <c r="F313">
        <v>1810</v>
      </c>
      <c r="G313">
        <v>2380</v>
      </c>
      <c r="H313">
        <v>1920</v>
      </c>
    </row>
    <row r="314" spans="4:8">
      <c r="D314" s="15">
        <v>125540</v>
      </c>
      <c r="E314">
        <v>2375</v>
      </c>
      <c r="F314">
        <v>1810</v>
      </c>
      <c r="G314">
        <v>2385</v>
      </c>
      <c r="H314">
        <v>1920</v>
      </c>
    </row>
    <row r="315" spans="4:8">
      <c r="D315" s="15">
        <v>125545</v>
      </c>
      <c r="E315">
        <v>2375</v>
      </c>
      <c r="F315">
        <v>1805</v>
      </c>
      <c r="G315">
        <v>2385</v>
      </c>
      <c r="H315">
        <v>1920</v>
      </c>
    </row>
    <row r="316" spans="4:8">
      <c r="D316" s="15">
        <v>125550</v>
      </c>
      <c r="E316">
        <v>2375</v>
      </c>
      <c r="F316">
        <v>1805</v>
      </c>
      <c r="G316">
        <v>2385</v>
      </c>
      <c r="H316">
        <v>1915</v>
      </c>
    </row>
    <row r="317" spans="4:8">
      <c r="D317" s="15">
        <v>125555</v>
      </c>
      <c r="E317">
        <v>2375</v>
      </c>
      <c r="F317">
        <v>1805</v>
      </c>
      <c r="G317">
        <v>2385</v>
      </c>
      <c r="H317">
        <v>1920</v>
      </c>
    </row>
    <row r="318" spans="4:8">
      <c r="D318" s="15">
        <v>125600</v>
      </c>
      <c r="E318">
        <v>2380</v>
      </c>
      <c r="F318">
        <v>1805</v>
      </c>
      <c r="G318">
        <v>2385</v>
      </c>
      <c r="H318">
        <v>1920</v>
      </c>
    </row>
    <row r="319" spans="4:8">
      <c r="D319" s="15">
        <v>125605</v>
      </c>
      <c r="E319">
        <v>2375</v>
      </c>
      <c r="F319">
        <v>1805</v>
      </c>
      <c r="G319">
        <v>2385</v>
      </c>
      <c r="H319">
        <v>1920</v>
      </c>
    </row>
    <row r="320" spans="4:8">
      <c r="D320" s="15">
        <v>125610</v>
      </c>
      <c r="E320">
        <v>2375</v>
      </c>
      <c r="F320">
        <v>1810</v>
      </c>
      <c r="G320">
        <v>2385</v>
      </c>
      <c r="H320">
        <v>1920</v>
      </c>
    </row>
    <row r="321" spans="4:8">
      <c r="D321" s="15">
        <v>125615</v>
      </c>
      <c r="E321">
        <v>2375</v>
      </c>
      <c r="F321">
        <v>1805</v>
      </c>
      <c r="G321">
        <v>2385</v>
      </c>
      <c r="H321">
        <v>1920</v>
      </c>
    </row>
    <row r="322" spans="4:8">
      <c r="D322" s="15">
        <v>125620</v>
      </c>
      <c r="E322">
        <v>2375</v>
      </c>
      <c r="F322">
        <v>1810</v>
      </c>
      <c r="G322">
        <v>2385</v>
      </c>
      <c r="H322">
        <v>1920</v>
      </c>
    </row>
    <row r="323" spans="4:8">
      <c r="D323" s="15">
        <v>125625</v>
      </c>
      <c r="E323">
        <v>2380</v>
      </c>
      <c r="F323">
        <v>1805</v>
      </c>
      <c r="G323">
        <v>2385</v>
      </c>
      <c r="H323">
        <v>1915</v>
      </c>
    </row>
    <row r="324" spans="4:8">
      <c r="D324" s="15">
        <v>125630</v>
      </c>
      <c r="E324">
        <v>2380</v>
      </c>
      <c r="F324">
        <v>1805</v>
      </c>
      <c r="G324">
        <v>2385</v>
      </c>
      <c r="H324">
        <v>1920</v>
      </c>
    </row>
    <row r="325" spans="4:8">
      <c r="D325" s="15">
        <v>125635</v>
      </c>
      <c r="E325">
        <v>2380</v>
      </c>
      <c r="F325">
        <v>1810</v>
      </c>
      <c r="G325">
        <v>2385</v>
      </c>
      <c r="H325">
        <v>1920</v>
      </c>
    </row>
    <row r="326" spans="4:8">
      <c r="D326" s="15">
        <v>125640</v>
      </c>
      <c r="E326">
        <v>2380</v>
      </c>
      <c r="F326">
        <v>1805</v>
      </c>
      <c r="G326">
        <v>2385</v>
      </c>
      <c r="H326">
        <v>1920</v>
      </c>
    </row>
    <row r="327" spans="4:8">
      <c r="D327" s="15">
        <v>125645</v>
      </c>
      <c r="E327">
        <v>2380</v>
      </c>
      <c r="F327">
        <v>1805</v>
      </c>
      <c r="G327">
        <v>2385</v>
      </c>
      <c r="H327">
        <v>1920</v>
      </c>
    </row>
    <row r="328" spans="4:8">
      <c r="D328" s="15">
        <v>125650</v>
      </c>
      <c r="E328">
        <v>2380</v>
      </c>
      <c r="F328">
        <v>1810</v>
      </c>
      <c r="G328">
        <v>2385</v>
      </c>
      <c r="H328">
        <v>1915</v>
      </c>
    </row>
    <row r="329" spans="4:8">
      <c r="D329" s="15">
        <v>125655</v>
      </c>
      <c r="E329">
        <v>2370</v>
      </c>
      <c r="F329">
        <v>1810</v>
      </c>
      <c r="G329">
        <v>2385</v>
      </c>
      <c r="H329">
        <v>1915</v>
      </c>
    </row>
    <row r="330" spans="4:8">
      <c r="D330" s="15">
        <v>125700</v>
      </c>
      <c r="E330">
        <v>2370</v>
      </c>
      <c r="F330">
        <v>1810</v>
      </c>
      <c r="G330">
        <v>2385</v>
      </c>
      <c r="H330">
        <v>1920</v>
      </c>
    </row>
    <row r="331" spans="4:8">
      <c r="D331" s="15">
        <v>125705</v>
      </c>
      <c r="E331">
        <v>2370</v>
      </c>
      <c r="F331">
        <v>1805</v>
      </c>
      <c r="G331">
        <v>2385</v>
      </c>
      <c r="H331">
        <v>1920</v>
      </c>
    </row>
    <row r="332" spans="4:8">
      <c r="D332" s="15">
        <v>125710</v>
      </c>
      <c r="E332">
        <v>2370</v>
      </c>
      <c r="F332">
        <v>1810</v>
      </c>
      <c r="G332">
        <v>2385</v>
      </c>
      <c r="H332">
        <v>1915</v>
      </c>
    </row>
    <row r="333" spans="4:8">
      <c r="D333" s="15">
        <v>125715</v>
      </c>
      <c r="E333">
        <v>2370</v>
      </c>
      <c r="F333">
        <v>1810</v>
      </c>
      <c r="G333">
        <v>2380</v>
      </c>
      <c r="H333">
        <v>1915</v>
      </c>
    </row>
    <row r="334" spans="4:8">
      <c r="D334" s="15">
        <v>125720</v>
      </c>
      <c r="E334">
        <v>2370</v>
      </c>
      <c r="F334">
        <v>1810</v>
      </c>
      <c r="G334">
        <v>2380</v>
      </c>
      <c r="H334">
        <v>1920</v>
      </c>
    </row>
    <row r="335" spans="4:8">
      <c r="D335" s="15">
        <v>125725</v>
      </c>
      <c r="E335">
        <v>2370</v>
      </c>
      <c r="F335">
        <v>1805</v>
      </c>
      <c r="G335">
        <v>2380</v>
      </c>
      <c r="H335">
        <v>1920</v>
      </c>
    </row>
    <row r="336" spans="4:8">
      <c r="D336" s="15">
        <v>125730</v>
      </c>
      <c r="E336">
        <v>2370</v>
      </c>
      <c r="F336">
        <v>1810</v>
      </c>
      <c r="G336">
        <v>2380</v>
      </c>
      <c r="H336">
        <v>1920</v>
      </c>
    </row>
    <row r="337" spans="4:8">
      <c r="D337" s="15">
        <v>125735</v>
      </c>
      <c r="E337">
        <v>2370</v>
      </c>
      <c r="F337">
        <v>1805</v>
      </c>
      <c r="G337">
        <v>2380</v>
      </c>
      <c r="H337">
        <v>1920</v>
      </c>
    </row>
    <row r="338" spans="4:8">
      <c r="D338" s="15">
        <v>125740</v>
      </c>
      <c r="E338">
        <v>2370</v>
      </c>
      <c r="F338">
        <v>1805</v>
      </c>
      <c r="G338">
        <v>2380</v>
      </c>
      <c r="H338">
        <v>1920</v>
      </c>
    </row>
    <row r="339" spans="4:8">
      <c r="D339" s="15">
        <v>125745</v>
      </c>
      <c r="E339">
        <v>2370</v>
      </c>
      <c r="F339">
        <v>1805</v>
      </c>
      <c r="G339">
        <v>2380</v>
      </c>
      <c r="H339">
        <v>1920</v>
      </c>
    </row>
    <row r="340" spans="4:8">
      <c r="D340" s="15">
        <v>125750</v>
      </c>
      <c r="E340">
        <v>2370</v>
      </c>
      <c r="F340">
        <v>1805</v>
      </c>
      <c r="G340">
        <v>2385</v>
      </c>
      <c r="H340">
        <v>1920</v>
      </c>
    </row>
    <row r="341" spans="4:8">
      <c r="D341" s="15">
        <v>125755</v>
      </c>
      <c r="E341">
        <v>2370</v>
      </c>
      <c r="F341">
        <v>1810</v>
      </c>
      <c r="G341">
        <v>2385</v>
      </c>
      <c r="H341">
        <v>1920</v>
      </c>
    </row>
    <row r="342" spans="4:8">
      <c r="D342" s="15">
        <v>125800</v>
      </c>
      <c r="E342">
        <v>2370</v>
      </c>
      <c r="F342">
        <v>1810</v>
      </c>
      <c r="G342">
        <v>2385</v>
      </c>
      <c r="H342">
        <v>1920</v>
      </c>
    </row>
    <row r="343" spans="4:8">
      <c r="D343" s="15">
        <v>125805</v>
      </c>
      <c r="E343">
        <v>2375</v>
      </c>
      <c r="F343">
        <v>1805</v>
      </c>
      <c r="G343">
        <v>2385</v>
      </c>
      <c r="H343">
        <v>1920</v>
      </c>
    </row>
    <row r="344" spans="4:8">
      <c r="D344" s="15">
        <v>125810</v>
      </c>
      <c r="E344">
        <v>2375</v>
      </c>
      <c r="F344">
        <v>1805</v>
      </c>
      <c r="G344">
        <v>2385</v>
      </c>
      <c r="H344">
        <v>1920</v>
      </c>
    </row>
    <row r="345" spans="4:8">
      <c r="D345" s="15">
        <v>125815</v>
      </c>
      <c r="E345">
        <v>2375</v>
      </c>
      <c r="F345">
        <v>1805</v>
      </c>
      <c r="G345">
        <v>2385</v>
      </c>
      <c r="H345">
        <v>1915</v>
      </c>
    </row>
    <row r="346" spans="4:8">
      <c r="D346" s="15">
        <v>125820</v>
      </c>
      <c r="E346">
        <v>2375</v>
      </c>
      <c r="F346">
        <v>1810</v>
      </c>
      <c r="G346">
        <v>2385</v>
      </c>
      <c r="H346">
        <v>1920</v>
      </c>
    </row>
    <row r="347" spans="4:8">
      <c r="D347" s="15">
        <v>125825</v>
      </c>
      <c r="E347">
        <v>2375</v>
      </c>
      <c r="F347">
        <v>1805</v>
      </c>
      <c r="G347">
        <v>2385</v>
      </c>
      <c r="H347">
        <v>1920</v>
      </c>
    </row>
    <row r="348" spans="4:8">
      <c r="D348" s="15">
        <v>125830</v>
      </c>
      <c r="E348">
        <v>2375</v>
      </c>
      <c r="F348">
        <v>1805</v>
      </c>
      <c r="G348">
        <v>2385</v>
      </c>
      <c r="H348">
        <v>1915</v>
      </c>
    </row>
    <row r="349" spans="4:8">
      <c r="D349" s="15">
        <v>125835</v>
      </c>
      <c r="E349">
        <v>2375</v>
      </c>
      <c r="F349">
        <v>1805</v>
      </c>
      <c r="G349">
        <v>2380</v>
      </c>
      <c r="H349">
        <v>1920</v>
      </c>
    </row>
    <row r="350" spans="4:8">
      <c r="D350" s="15">
        <v>125840</v>
      </c>
      <c r="E350">
        <v>2375</v>
      </c>
      <c r="F350">
        <v>1805</v>
      </c>
      <c r="G350">
        <v>2380</v>
      </c>
      <c r="H350">
        <v>1920</v>
      </c>
    </row>
    <row r="351" spans="4:8">
      <c r="D351" s="15">
        <v>125845</v>
      </c>
      <c r="E351">
        <v>2375</v>
      </c>
      <c r="F351">
        <v>1805</v>
      </c>
      <c r="G351">
        <v>2380</v>
      </c>
      <c r="H351">
        <v>1915</v>
      </c>
    </row>
    <row r="352" spans="4:8">
      <c r="D352" s="15">
        <v>125850</v>
      </c>
      <c r="E352">
        <v>2375</v>
      </c>
      <c r="F352">
        <v>1810</v>
      </c>
      <c r="G352">
        <v>2380</v>
      </c>
      <c r="H352">
        <v>1920</v>
      </c>
    </row>
    <row r="353" spans="4:8">
      <c r="D353" s="15">
        <v>125855</v>
      </c>
      <c r="E353">
        <v>2375</v>
      </c>
      <c r="F353">
        <v>1805</v>
      </c>
      <c r="G353">
        <v>2380</v>
      </c>
      <c r="H353">
        <v>1920</v>
      </c>
    </row>
    <row r="354" spans="4:8">
      <c r="D354" s="15">
        <v>125900</v>
      </c>
      <c r="E354">
        <v>2375</v>
      </c>
      <c r="F354">
        <v>1810</v>
      </c>
      <c r="G354">
        <v>2380</v>
      </c>
      <c r="H354">
        <v>1920</v>
      </c>
    </row>
    <row r="355" spans="4:8">
      <c r="D355" s="15">
        <v>125905</v>
      </c>
      <c r="E355">
        <v>2375</v>
      </c>
      <c r="F355">
        <v>1805</v>
      </c>
      <c r="G355">
        <v>2380</v>
      </c>
      <c r="H355">
        <v>1920</v>
      </c>
    </row>
    <row r="356" spans="4:8">
      <c r="D356" s="15">
        <v>125910</v>
      </c>
      <c r="E356">
        <v>2375</v>
      </c>
      <c r="F356">
        <v>1805</v>
      </c>
      <c r="G356">
        <v>2380</v>
      </c>
      <c r="H356">
        <v>1920</v>
      </c>
    </row>
    <row r="357" spans="4:8">
      <c r="D357" s="15">
        <v>125915</v>
      </c>
      <c r="E357">
        <v>2375</v>
      </c>
      <c r="F357">
        <v>1805</v>
      </c>
      <c r="G357">
        <v>2380</v>
      </c>
      <c r="H357">
        <v>1920</v>
      </c>
    </row>
    <row r="358" spans="4:8">
      <c r="D358" s="15">
        <v>125920</v>
      </c>
      <c r="E358">
        <v>2375</v>
      </c>
      <c r="F358">
        <v>1805</v>
      </c>
      <c r="G358">
        <v>2380</v>
      </c>
      <c r="H358">
        <v>1915</v>
      </c>
    </row>
    <row r="359" spans="4:8">
      <c r="D359" s="15">
        <v>125925</v>
      </c>
      <c r="E359">
        <v>2375</v>
      </c>
      <c r="F359">
        <v>1805</v>
      </c>
      <c r="G359">
        <v>2380</v>
      </c>
      <c r="H359">
        <v>1920</v>
      </c>
    </row>
    <row r="360" spans="4:8">
      <c r="D360" s="15">
        <v>125930</v>
      </c>
      <c r="E360">
        <v>2375</v>
      </c>
      <c r="F360">
        <v>1805</v>
      </c>
      <c r="G360">
        <v>2380</v>
      </c>
      <c r="H360">
        <v>1915</v>
      </c>
    </row>
    <row r="361" spans="4:8">
      <c r="D361" s="15">
        <v>125935</v>
      </c>
      <c r="E361">
        <v>2375</v>
      </c>
      <c r="F361">
        <v>1810</v>
      </c>
      <c r="G361">
        <v>2380</v>
      </c>
      <c r="H361">
        <v>1920</v>
      </c>
    </row>
    <row r="362" spans="4:8">
      <c r="D362" s="15">
        <v>125940</v>
      </c>
      <c r="E362">
        <v>2375</v>
      </c>
      <c r="F362">
        <v>1805</v>
      </c>
      <c r="G362">
        <v>2380</v>
      </c>
      <c r="H362">
        <v>1920</v>
      </c>
    </row>
    <row r="363" spans="4:8">
      <c r="D363" s="15">
        <v>125945</v>
      </c>
      <c r="E363">
        <v>2375</v>
      </c>
      <c r="F363">
        <v>1805</v>
      </c>
      <c r="G363">
        <v>2380</v>
      </c>
      <c r="H363">
        <v>1915</v>
      </c>
    </row>
    <row r="364" spans="4:8">
      <c r="D364" s="15">
        <v>125950</v>
      </c>
      <c r="E364">
        <v>2375</v>
      </c>
      <c r="F364">
        <v>1810</v>
      </c>
      <c r="G364">
        <v>2380</v>
      </c>
      <c r="H364">
        <v>1915</v>
      </c>
    </row>
    <row r="365" spans="4:8">
      <c r="D365" s="15">
        <v>125955</v>
      </c>
      <c r="E365">
        <v>2375</v>
      </c>
      <c r="F365">
        <v>1810</v>
      </c>
      <c r="G365">
        <v>2380</v>
      </c>
      <c r="H365">
        <v>1920</v>
      </c>
    </row>
    <row r="366" spans="4:8">
      <c r="D366" s="15">
        <v>130000</v>
      </c>
      <c r="E366">
        <v>2375</v>
      </c>
      <c r="F366">
        <v>1805</v>
      </c>
      <c r="G366">
        <v>2380</v>
      </c>
      <c r="H366">
        <v>1920</v>
      </c>
    </row>
    <row r="367" spans="4:8">
      <c r="D367" s="15">
        <v>130005</v>
      </c>
      <c r="E367">
        <v>2375</v>
      </c>
      <c r="F367">
        <v>1805</v>
      </c>
      <c r="G367">
        <v>2370</v>
      </c>
      <c r="H367">
        <v>1915</v>
      </c>
    </row>
    <row r="368" spans="4:8">
      <c r="D368" s="15">
        <v>130010</v>
      </c>
      <c r="E368">
        <v>2375</v>
      </c>
      <c r="F368">
        <v>1810</v>
      </c>
      <c r="G368">
        <v>2370</v>
      </c>
      <c r="H368">
        <v>1915</v>
      </c>
    </row>
    <row r="369" spans="4:8">
      <c r="D369" s="15">
        <v>130015</v>
      </c>
      <c r="E369">
        <v>2375</v>
      </c>
      <c r="F369">
        <v>1805</v>
      </c>
      <c r="G369">
        <v>2370</v>
      </c>
      <c r="H369">
        <v>1915</v>
      </c>
    </row>
    <row r="370" spans="4:8">
      <c r="D370" s="15">
        <v>130020</v>
      </c>
      <c r="E370">
        <v>2375</v>
      </c>
      <c r="F370">
        <v>1805</v>
      </c>
      <c r="G370">
        <v>2370</v>
      </c>
      <c r="H370">
        <v>1920</v>
      </c>
    </row>
    <row r="371" spans="4:8">
      <c r="D371" s="15">
        <v>130025</v>
      </c>
      <c r="E371">
        <v>2375</v>
      </c>
      <c r="F371">
        <v>1805</v>
      </c>
      <c r="G371">
        <v>2370</v>
      </c>
      <c r="H371">
        <v>1920</v>
      </c>
    </row>
    <row r="372" spans="4:8">
      <c r="D372" s="15">
        <v>130030</v>
      </c>
      <c r="E372">
        <v>2375</v>
      </c>
      <c r="F372">
        <v>1805</v>
      </c>
      <c r="G372">
        <v>2370</v>
      </c>
      <c r="H372">
        <v>1915</v>
      </c>
    </row>
    <row r="373" spans="4:8">
      <c r="D373" s="15">
        <v>130035</v>
      </c>
      <c r="E373">
        <v>2380</v>
      </c>
      <c r="F373">
        <v>1805</v>
      </c>
      <c r="G373">
        <v>2370</v>
      </c>
      <c r="H373">
        <v>1915</v>
      </c>
    </row>
    <row r="374" spans="4:8">
      <c r="D374" s="15">
        <v>130040</v>
      </c>
      <c r="E374">
        <v>2380</v>
      </c>
      <c r="F374">
        <v>1805</v>
      </c>
      <c r="G374">
        <v>2370</v>
      </c>
      <c r="H374">
        <v>1920</v>
      </c>
    </row>
    <row r="375" spans="4:8">
      <c r="D375" s="15">
        <v>130045</v>
      </c>
      <c r="E375">
        <v>2380</v>
      </c>
      <c r="F375">
        <v>1805</v>
      </c>
      <c r="G375">
        <v>2370</v>
      </c>
      <c r="H375">
        <v>1915</v>
      </c>
    </row>
    <row r="376" spans="4:8">
      <c r="D376" s="15">
        <v>130050</v>
      </c>
      <c r="E376">
        <v>2380</v>
      </c>
      <c r="F376">
        <v>1805</v>
      </c>
      <c r="G376">
        <v>2370</v>
      </c>
      <c r="H376">
        <v>1915</v>
      </c>
    </row>
    <row r="377" spans="4:8">
      <c r="D377" s="15">
        <v>130055</v>
      </c>
      <c r="E377">
        <v>2380</v>
      </c>
      <c r="F377">
        <v>1805</v>
      </c>
      <c r="G377">
        <v>2370</v>
      </c>
      <c r="H377">
        <v>1920</v>
      </c>
    </row>
    <row r="378" spans="4:8">
      <c r="D378" s="15">
        <v>130100</v>
      </c>
      <c r="E378">
        <v>2375</v>
      </c>
      <c r="F378">
        <v>1805</v>
      </c>
      <c r="G378">
        <v>2370</v>
      </c>
      <c r="H378">
        <v>1915</v>
      </c>
    </row>
    <row r="379" spans="4:8">
      <c r="D379" s="15">
        <v>130105</v>
      </c>
      <c r="E379">
        <v>2375</v>
      </c>
      <c r="F379">
        <v>1805</v>
      </c>
      <c r="G379">
        <v>2370</v>
      </c>
      <c r="H379">
        <v>1915</v>
      </c>
    </row>
    <row r="380" spans="4:8">
      <c r="D380" s="15">
        <v>130110</v>
      </c>
      <c r="E380">
        <v>2375</v>
      </c>
      <c r="F380">
        <v>1805</v>
      </c>
      <c r="G380">
        <v>2370</v>
      </c>
      <c r="H380">
        <v>1920</v>
      </c>
    </row>
    <row r="381" spans="4:8">
      <c r="D381" s="15">
        <v>130115</v>
      </c>
      <c r="E381">
        <v>2375</v>
      </c>
      <c r="F381">
        <v>1805</v>
      </c>
      <c r="G381">
        <v>2370</v>
      </c>
      <c r="H381">
        <v>1915</v>
      </c>
    </row>
    <row r="382" spans="4:8">
      <c r="D382" s="15">
        <v>130120</v>
      </c>
      <c r="E382">
        <v>2375</v>
      </c>
      <c r="F382">
        <v>1805</v>
      </c>
      <c r="G382">
        <v>2370</v>
      </c>
      <c r="H382">
        <v>1915</v>
      </c>
    </row>
    <row r="383" spans="4:8">
      <c r="D383" s="15">
        <v>130125</v>
      </c>
      <c r="E383">
        <v>2370</v>
      </c>
      <c r="F383">
        <v>1805</v>
      </c>
      <c r="G383">
        <v>2370</v>
      </c>
      <c r="H383">
        <v>1920</v>
      </c>
    </row>
    <row r="384" spans="4:8">
      <c r="D384" s="15">
        <v>130130</v>
      </c>
      <c r="E384">
        <v>2370</v>
      </c>
      <c r="F384">
        <v>1805</v>
      </c>
      <c r="G384">
        <v>2370</v>
      </c>
      <c r="H384">
        <v>1915</v>
      </c>
    </row>
    <row r="385" spans="4:8">
      <c r="D385" s="15">
        <v>130135</v>
      </c>
      <c r="E385">
        <v>2370</v>
      </c>
      <c r="F385">
        <v>1805</v>
      </c>
      <c r="G385">
        <v>2370</v>
      </c>
      <c r="H385">
        <v>1915</v>
      </c>
    </row>
    <row r="386" spans="4:8">
      <c r="D386" s="15">
        <v>130140</v>
      </c>
      <c r="E386">
        <v>2370</v>
      </c>
      <c r="F386">
        <v>1805</v>
      </c>
      <c r="G386">
        <v>2370</v>
      </c>
      <c r="H386">
        <v>1920</v>
      </c>
    </row>
    <row r="387" spans="4:8">
      <c r="D387" s="15">
        <v>130145</v>
      </c>
      <c r="E387">
        <v>2370</v>
      </c>
      <c r="F387">
        <v>1805</v>
      </c>
      <c r="G387">
        <v>2370</v>
      </c>
      <c r="H387">
        <v>1915</v>
      </c>
    </row>
    <row r="388" spans="4:8">
      <c r="D388" s="15">
        <v>130150</v>
      </c>
      <c r="E388">
        <v>2370</v>
      </c>
      <c r="F388">
        <v>1805</v>
      </c>
      <c r="G388">
        <v>2370</v>
      </c>
      <c r="H388">
        <v>1915</v>
      </c>
    </row>
    <row r="389" spans="4:8">
      <c r="D389" s="15">
        <v>130155</v>
      </c>
      <c r="E389">
        <v>2370</v>
      </c>
      <c r="F389">
        <v>1805</v>
      </c>
      <c r="G389">
        <v>2370</v>
      </c>
      <c r="H389">
        <v>1920</v>
      </c>
    </row>
    <row r="390" spans="4:8">
      <c r="D390" s="15">
        <v>130200</v>
      </c>
      <c r="E390">
        <v>2375</v>
      </c>
      <c r="F390">
        <v>1810</v>
      </c>
      <c r="G390">
        <v>2370</v>
      </c>
      <c r="H390">
        <v>1920</v>
      </c>
    </row>
    <row r="391" spans="4:8">
      <c r="D391" s="15">
        <v>130205</v>
      </c>
      <c r="E391">
        <v>2375</v>
      </c>
      <c r="F391">
        <v>1805</v>
      </c>
      <c r="G391">
        <v>2370</v>
      </c>
      <c r="H391">
        <v>1915</v>
      </c>
    </row>
    <row r="392" spans="4:8">
      <c r="D392" s="15">
        <v>130210</v>
      </c>
      <c r="E392">
        <v>2375</v>
      </c>
      <c r="F392">
        <v>1805</v>
      </c>
      <c r="G392">
        <v>2370</v>
      </c>
      <c r="H392">
        <v>1920</v>
      </c>
    </row>
    <row r="393" spans="4:8">
      <c r="D393" s="15">
        <v>130215</v>
      </c>
      <c r="E393">
        <v>2375</v>
      </c>
      <c r="F393">
        <v>1805</v>
      </c>
      <c r="G393">
        <v>2370</v>
      </c>
      <c r="H393">
        <v>1915</v>
      </c>
    </row>
    <row r="394" spans="4:8">
      <c r="D394" s="15">
        <v>130220</v>
      </c>
      <c r="E394">
        <v>2375</v>
      </c>
      <c r="F394">
        <v>1805</v>
      </c>
      <c r="G394">
        <v>2370</v>
      </c>
      <c r="H394">
        <v>1920</v>
      </c>
    </row>
    <row r="395" spans="4:8">
      <c r="D395" s="15">
        <v>130225</v>
      </c>
      <c r="E395">
        <v>2375</v>
      </c>
      <c r="F395">
        <v>1805</v>
      </c>
      <c r="G395">
        <v>2370</v>
      </c>
      <c r="H395">
        <v>1920</v>
      </c>
    </row>
    <row r="396" spans="4:8">
      <c r="D396" s="15">
        <v>130230</v>
      </c>
      <c r="E396">
        <v>2375</v>
      </c>
      <c r="F396">
        <v>1805</v>
      </c>
      <c r="G396">
        <v>2370</v>
      </c>
      <c r="H396">
        <v>1920</v>
      </c>
    </row>
    <row r="397" spans="4:8">
      <c r="D397" s="15">
        <v>130235</v>
      </c>
      <c r="E397">
        <v>2375</v>
      </c>
      <c r="F397">
        <v>1805</v>
      </c>
      <c r="G397">
        <v>2370</v>
      </c>
      <c r="H397">
        <v>1915</v>
      </c>
    </row>
    <row r="398" spans="4:8">
      <c r="D398" s="15">
        <v>130240</v>
      </c>
      <c r="E398">
        <v>2375</v>
      </c>
      <c r="F398">
        <v>1805</v>
      </c>
      <c r="G398">
        <v>2370</v>
      </c>
      <c r="H398">
        <v>1915</v>
      </c>
    </row>
    <row r="399" spans="4:8">
      <c r="D399" s="15">
        <v>130245</v>
      </c>
      <c r="E399">
        <v>2375</v>
      </c>
      <c r="F399">
        <v>1805</v>
      </c>
      <c r="G399">
        <v>2370</v>
      </c>
      <c r="H399">
        <v>1915</v>
      </c>
    </row>
    <row r="400" spans="4:8">
      <c r="D400" s="15">
        <v>130250</v>
      </c>
      <c r="E400">
        <v>2375</v>
      </c>
      <c r="F400">
        <v>1805</v>
      </c>
      <c r="G400">
        <v>2375</v>
      </c>
      <c r="H400">
        <v>1915</v>
      </c>
    </row>
    <row r="401" spans="4:8">
      <c r="D401" s="15">
        <v>130255</v>
      </c>
      <c r="E401">
        <v>2375</v>
      </c>
      <c r="F401">
        <v>1805</v>
      </c>
      <c r="G401">
        <v>2375</v>
      </c>
      <c r="H401">
        <v>1915</v>
      </c>
    </row>
    <row r="402" spans="4:8">
      <c r="D402" s="15">
        <v>130300</v>
      </c>
      <c r="E402">
        <v>2370</v>
      </c>
      <c r="F402">
        <v>1810</v>
      </c>
      <c r="G402">
        <v>2375</v>
      </c>
      <c r="H402">
        <v>1920</v>
      </c>
    </row>
    <row r="403" spans="4:8">
      <c r="D403" s="15">
        <v>130305</v>
      </c>
      <c r="E403">
        <v>2370</v>
      </c>
      <c r="F403">
        <v>1805</v>
      </c>
      <c r="G403">
        <v>2375</v>
      </c>
      <c r="H403">
        <v>1915</v>
      </c>
    </row>
    <row r="404" spans="4:8">
      <c r="D404" s="15">
        <v>130310</v>
      </c>
      <c r="E404">
        <v>2370</v>
      </c>
      <c r="F404">
        <v>1810</v>
      </c>
      <c r="G404">
        <v>2375</v>
      </c>
      <c r="H404">
        <v>1915</v>
      </c>
    </row>
    <row r="405" spans="4:8">
      <c r="D405" s="15">
        <v>130315</v>
      </c>
      <c r="E405">
        <v>2370</v>
      </c>
      <c r="F405">
        <v>1805</v>
      </c>
      <c r="G405">
        <v>2375</v>
      </c>
      <c r="H405">
        <v>1915</v>
      </c>
    </row>
    <row r="406" spans="4:8">
      <c r="D406" s="15">
        <v>130320</v>
      </c>
      <c r="E406">
        <v>2370</v>
      </c>
      <c r="F406">
        <v>1805</v>
      </c>
      <c r="G406">
        <v>2375</v>
      </c>
      <c r="H406">
        <v>1920</v>
      </c>
    </row>
    <row r="407" spans="4:8">
      <c r="D407" s="15">
        <v>130325</v>
      </c>
      <c r="E407">
        <v>2370</v>
      </c>
      <c r="F407">
        <v>1805</v>
      </c>
      <c r="G407">
        <v>2375</v>
      </c>
      <c r="H407">
        <v>1915</v>
      </c>
    </row>
    <row r="408" spans="4:8">
      <c r="D408" s="15">
        <v>130330</v>
      </c>
      <c r="E408">
        <v>2370</v>
      </c>
      <c r="F408">
        <v>1805</v>
      </c>
      <c r="G408">
        <v>2375</v>
      </c>
      <c r="H408">
        <v>1915</v>
      </c>
    </row>
    <row r="409" spans="4:8">
      <c r="D409" s="15">
        <v>130335</v>
      </c>
      <c r="E409">
        <v>2365</v>
      </c>
      <c r="F409">
        <v>1805</v>
      </c>
      <c r="G409">
        <v>2375</v>
      </c>
      <c r="H409">
        <v>1915</v>
      </c>
    </row>
    <row r="410" spans="4:8">
      <c r="D410" s="15">
        <v>130340</v>
      </c>
      <c r="E410">
        <v>2365</v>
      </c>
      <c r="F410">
        <v>1805</v>
      </c>
      <c r="G410">
        <v>2375</v>
      </c>
      <c r="H410">
        <v>1920</v>
      </c>
    </row>
    <row r="411" spans="4:8">
      <c r="D411" s="15">
        <v>130345</v>
      </c>
      <c r="E411">
        <v>2370</v>
      </c>
      <c r="F411">
        <v>1805</v>
      </c>
      <c r="G411">
        <v>2375</v>
      </c>
      <c r="H411">
        <v>1915</v>
      </c>
    </row>
    <row r="412" spans="4:8">
      <c r="D412" s="15">
        <v>130350</v>
      </c>
      <c r="E412">
        <v>2370</v>
      </c>
      <c r="F412">
        <v>1805</v>
      </c>
      <c r="G412">
        <v>2370</v>
      </c>
      <c r="H412">
        <v>1915</v>
      </c>
    </row>
    <row r="413" spans="4:8">
      <c r="D413" s="15">
        <v>130355</v>
      </c>
      <c r="E413">
        <v>2365</v>
      </c>
      <c r="F413">
        <v>1805</v>
      </c>
      <c r="G413">
        <v>2370</v>
      </c>
      <c r="H413">
        <v>1915</v>
      </c>
    </row>
    <row r="414" spans="4:8">
      <c r="D414" s="15">
        <v>130400</v>
      </c>
      <c r="E414">
        <v>2365</v>
      </c>
      <c r="F414">
        <v>1805</v>
      </c>
      <c r="G414">
        <v>2370</v>
      </c>
      <c r="H414">
        <v>1920</v>
      </c>
    </row>
    <row r="415" spans="4:8">
      <c r="D415" s="15">
        <v>130405</v>
      </c>
      <c r="E415">
        <v>2365</v>
      </c>
      <c r="F415">
        <v>1805</v>
      </c>
      <c r="G415">
        <v>2370</v>
      </c>
      <c r="H415">
        <v>1915</v>
      </c>
    </row>
    <row r="416" spans="4:8">
      <c r="D416" s="15">
        <v>130410</v>
      </c>
      <c r="E416">
        <v>2365</v>
      </c>
      <c r="F416">
        <v>1805</v>
      </c>
      <c r="G416">
        <v>2370</v>
      </c>
      <c r="H416">
        <v>1920</v>
      </c>
    </row>
    <row r="417" spans="4:8">
      <c r="D417" s="15">
        <v>130415</v>
      </c>
      <c r="E417">
        <v>2370</v>
      </c>
      <c r="F417">
        <v>1805</v>
      </c>
      <c r="G417">
        <v>2370</v>
      </c>
      <c r="H417">
        <v>1915</v>
      </c>
    </row>
    <row r="418" spans="4:8">
      <c r="D418" s="15">
        <v>130420</v>
      </c>
      <c r="E418">
        <v>2370</v>
      </c>
      <c r="F418">
        <v>1805</v>
      </c>
      <c r="G418">
        <v>2370</v>
      </c>
      <c r="H418">
        <v>1915</v>
      </c>
    </row>
    <row r="419" spans="4:8">
      <c r="D419" s="15">
        <v>130425</v>
      </c>
      <c r="E419">
        <v>2370</v>
      </c>
      <c r="F419">
        <v>1805</v>
      </c>
      <c r="G419">
        <v>2370</v>
      </c>
      <c r="H419">
        <v>1915</v>
      </c>
    </row>
    <row r="420" spans="4:8">
      <c r="D420" s="15">
        <v>130430</v>
      </c>
      <c r="E420">
        <v>2370</v>
      </c>
      <c r="F420">
        <v>1805</v>
      </c>
      <c r="G420">
        <v>2370</v>
      </c>
      <c r="H420">
        <v>1915</v>
      </c>
    </row>
    <row r="421" spans="4:8">
      <c r="D421" s="15">
        <v>130435</v>
      </c>
      <c r="E421">
        <v>2370</v>
      </c>
      <c r="F421">
        <v>1805</v>
      </c>
      <c r="G421">
        <v>2370</v>
      </c>
      <c r="H421">
        <v>1915</v>
      </c>
    </row>
    <row r="422" spans="4:8">
      <c r="D422" s="15">
        <v>130440</v>
      </c>
      <c r="E422">
        <v>2370</v>
      </c>
      <c r="F422">
        <v>1805</v>
      </c>
      <c r="G422">
        <v>2370</v>
      </c>
      <c r="H422">
        <v>1915</v>
      </c>
    </row>
    <row r="423" spans="4:8">
      <c r="D423" s="15">
        <v>130445</v>
      </c>
      <c r="E423">
        <v>2370</v>
      </c>
      <c r="F423">
        <v>1805</v>
      </c>
      <c r="G423">
        <v>2370</v>
      </c>
      <c r="H423">
        <v>1915</v>
      </c>
    </row>
    <row r="424" spans="4:8">
      <c r="D424" s="15">
        <v>130450</v>
      </c>
      <c r="E424">
        <v>2370</v>
      </c>
      <c r="F424">
        <v>1805</v>
      </c>
      <c r="G424">
        <v>2370</v>
      </c>
      <c r="H424">
        <v>1915</v>
      </c>
    </row>
    <row r="425" spans="4:8">
      <c r="D425" s="15">
        <v>130455</v>
      </c>
      <c r="E425">
        <v>2370</v>
      </c>
      <c r="F425">
        <v>1805</v>
      </c>
      <c r="G425">
        <v>2370</v>
      </c>
      <c r="H425">
        <v>1920</v>
      </c>
    </row>
    <row r="426" spans="4:8">
      <c r="D426" s="15">
        <v>130500</v>
      </c>
      <c r="E426">
        <v>2370</v>
      </c>
      <c r="F426">
        <v>1805</v>
      </c>
      <c r="G426">
        <v>2370</v>
      </c>
      <c r="H426">
        <v>1920</v>
      </c>
    </row>
    <row r="427" spans="4:8">
      <c r="D427" s="15">
        <v>130505</v>
      </c>
      <c r="E427">
        <v>2370</v>
      </c>
      <c r="F427">
        <v>1805</v>
      </c>
      <c r="G427">
        <v>2370</v>
      </c>
      <c r="H427">
        <v>1915</v>
      </c>
    </row>
    <row r="428" spans="4:8">
      <c r="D428" s="15">
        <v>130510</v>
      </c>
      <c r="E428">
        <v>2370</v>
      </c>
      <c r="F428">
        <v>1805</v>
      </c>
      <c r="G428">
        <v>2370</v>
      </c>
      <c r="H428">
        <v>1915</v>
      </c>
    </row>
    <row r="429" spans="4:8">
      <c r="D429" s="15">
        <v>130515</v>
      </c>
      <c r="E429">
        <v>2370</v>
      </c>
      <c r="F429">
        <v>1805</v>
      </c>
      <c r="G429">
        <v>2370</v>
      </c>
      <c r="H429">
        <v>1915</v>
      </c>
    </row>
    <row r="430" spans="4:8">
      <c r="D430" s="15">
        <v>130520</v>
      </c>
      <c r="E430">
        <v>2370</v>
      </c>
      <c r="F430">
        <v>1805</v>
      </c>
      <c r="G430">
        <v>2370</v>
      </c>
      <c r="H430">
        <v>1915</v>
      </c>
    </row>
    <row r="431" spans="4:8">
      <c r="D431" s="15">
        <v>130525</v>
      </c>
      <c r="E431">
        <v>2370</v>
      </c>
      <c r="F431">
        <v>1805</v>
      </c>
      <c r="G431">
        <v>2370</v>
      </c>
      <c r="H431">
        <v>1915</v>
      </c>
    </row>
    <row r="432" spans="4:8">
      <c r="D432" s="15">
        <v>130530</v>
      </c>
      <c r="E432">
        <v>2370</v>
      </c>
      <c r="F432">
        <v>1805</v>
      </c>
      <c r="G432">
        <v>2370</v>
      </c>
      <c r="H432">
        <v>1915</v>
      </c>
    </row>
    <row r="433" spans="4:8">
      <c r="D433" s="15">
        <v>130535</v>
      </c>
      <c r="E433">
        <v>2370</v>
      </c>
      <c r="F433">
        <v>1810</v>
      </c>
      <c r="G433">
        <v>2370</v>
      </c>
      <c r="H433">
        <v>1915</v>
      </c>
    </row>
    <row r="434" spans="4:8">
      <c r="D434" s="15">
        <v>130540</v>
      </c>
      <c r="E434">
        <v>2370</v>
      </c>
      <c r="F434">
        <v>1805</v>
      </c>
      <c r="G434">
        <v>2370</v>
      </c>
      <c r="H434">
        <v>1915</v>
      </c>
    </row>
    <row r="435" spans="4:8">
      <c r="D435" s="15">
        <v>130545</v>
      </c>
      <c r="E435">
        <v>2370</v>
      </c>
      <c r="F435">
        <v>1805</v>
      </c>
      <c r="G435">
        <v>2370</v>
      </c>
      <c r="H435">
        <v>1915</v>
      </c>
    </row>
    <row r="436" spans="4:8">
      <c r="D436" s="15">
        <v>130550</v>
      </c>
      <c r="E436">
        <v>2370</v>
      </c>
      <c r="F436">
        <v>1810</v>
      </c>
      <c r="G436">
        <v>2370</v>
      </c>
      <c r="H436">
        <v>1920</v>
      </c>
    </row>
    <row r="437" spans="4:8">
      <c r="D437" s="15">
        <v>130555</v>
      </c>
      <c r="E437">
        <v>2365</v>
      </c>
      <c r="F437">
        <v>1805</v>
      </c>
      <c r="G437">
        <v>2370</v>
      </c>
      <c r="H437">
        <v>1915</v>
      </c>
    </row>
    <row r="438" spans="4:8">
      <c r="D438" s="15">
        <v>130600</v>
      </c>
      <c r="E438">
        <v>2365</v>
      </c>
      <c r="F438">
        <v>1805</v>
      </c>
      <c r="G438">
        <v>2370</v>
      </c>
      <c r="H438">
        <v>1920</v>
      </c>
    </row>
    <row r="439" spans="4:8">
      <c r="D439" s="15">
        <v>130605</v>
      </c>
      <c r="E439">
        <v>2365</v>
      </c>
      <c r="F439">
        <v>1805</v>
      </c>
      <c r="G439">
        <v>2370</v>
      </c>
      <c r="H439">
        <v>1915</v>
      </c>
    </row>
    <row r="440" spans="4:8">
      <c r="D440" s="15">
        <v>130610</v>
      </c>
      <c r="E440">
        <v>2365</v>
      </c>
      <c r="F440">
        <v>1805</v>
      </c>
      <c r="G440">
        <v>2370</v>
      </c>
      <c r="H440">
        <v>1915</v>
      </c>
    </row>
    <row r="441" spans="4:8">
      <c r="D441" s="15">
        <v>130615</v>
      </c>
      <c r="E441">
        <v>2365</v>
      </c>
      <c r="F441">
        <v>1805</v>
      </c>
      <c r="G441">
        <v>2370</v>
      </c>
      <c r="H441">
        <v>1915</v>
      </c>
    </row>
    <row r="442" spans="4:8">
      <c r="D442" s="15">
        <v>130620</v>
      </c>
      <c r="E442">
        <v>2365</v>
      </c>
      <c r="F442">
        <v>1805</v>
      </c>
      <c r="G442">
        <v>2370</v>
      </c>
      <c r="H442">
        <v>1915</v>
      </c>
    </row>
    <row r="443" spans="4:8">
      <c r="D443" s="15">
        <v>130625</v>
      </c>
      <c r="E443">
        <v>2365</v>
      </c>
      <c r="F443">
        <v>1805</v>
      </c>
      <c r="G443">
        <v>2370</v>
      </c>
      <c r="H443">
        <v>1915</v>
      </c>
    </row>
    <row r="444" spans="4:8">
      <c r="D444" s="15">
        <v>130630</v>
      </c>
      <c r="E444">
        <v>2365</v>
      </c>
      <c r="F444">
        <v>1805</v>
      </c>
      <c r="G444">
        <v>2370</v>
      </c>
      <c r="H444">
        <v>1915</v>
      </c>
    </row>
    <row r="445" spans="4:8">
      <c r="D445" s="15">
        <v>130635</v>
      </c>
      <c r="E445">
        <v>2365</v>
      </c>
      <c r="F445">
        <v>1805</v>
      </c>
      <c r="G445">
        <v>2370</v>
      </c>
      <c r="H445">
        <v>1920</v>
      </c>
    </row>
    <row r="446" spans="4:8">
      <c r="D446" s="15">
        <v>130640</v>
      </c>
      <c r="E446">
        <v>2365</v>
      </c>
      <c r="F446">
        <v>1805</v>
      </c>
      <c r="G446">
        <v>2370</v>
      </c>
      <c r="H446">
        <v>1920</v>
      </c>
    </row>
    <row r="447" spans="4:8">
      <c r="D447" s="15">
        <v>130645</v>
      </c>
      <c r="E447">
        <v>2370</v>
      </c>
      <c r="F447">
        <v>1805</v>
      </c>
      <c r="G447">
        <v>2370</v>
      </c>
      <c r="H447">
        <v>1915</v>
      </c>
    </row>
    <row r="448" spans="4:8">
      <c r="D448" s="15">
        <v>130650</v>
      </c>
      <c r="E448">
        <v>2370</v>
      </c>
      <c r="F448">
        <v>1805</v>
      </c>
      <c r="G448">
        <v>2370</v>
      </c>
      <c r="H448">
        <v>1915</v>
      </c>
    </row>
    <row r="449" spans="4:8">
      <c r="D449" s="15">
        <v>130655</v>
      </c>
      <c r="E449">
        <v>2370</v>
      </c>
      <c r="F449">
        <v>1805</v>
      </c>
      <c r="G449">
        <v>2370</v>
      </c>
      <c r="H449">
        <v>1920</v>
      </c>
    </row>
    <row r="450" spans="4:8">
      <c r="D450" s="15">
        <v>130700</v>
      </c>
      <c r="E450">
        <v>2370</v>
      </c>
      <c r="F450">
        <v>1805</v>
      </c>
      <c r="G450">
        <v>2370</v>
      </c>
      <c r="H450">
        <v>1920</v>
      </c>
    </row>
    <row r="451" spans="4:8">
      <c r="D451" s="15">
        <v>130705</v>
      </c>
      <c r="E451">
        <v>2370</v>
      </c>
      <c r="F451">
        <v>1805</v>
      </c>
      <c r="G451">
        <v>2370</v>
      </c>
      <c r="H451">
        <v>1920</v>
      </c>
    </row>
    <row r="452" spans="4:8">
      <c r="D452" s="15">
        <v>130710</v>
      </c>
      <c r="E452">
        <v>2370</v>
      </c>
      <c r="F452">
        <v>1805</v>
      </c>
      <c r="G452">
        <v>2370</v>
      </c>
      <c r="H452">
        <v>1915</v>
      </c>
    </row>
    <row r="453" spans="4:8">
      <c r="D453" s="15">
        <v>130715</v>
      </c>
      <c r="E453">
        <v>2370</v>
      </c>
      <c r="F453">
        <v>1805</v>
      </c>
      <c r="G453">
        <v>2365</v>
      </c>
      <c r="H453">
        <v>1915</v>
      </c>
    </row>
    <row r="454" spans="4:8">
      <c r="D454" s="15">
        <v>130720</v>
      </c>
      <c r="E454">
        <v>2370</v>
      </c>
      <c r="F454">
        <v>1805</v>
      </c>
      <c r="G454">
        <v>2365</v>
      </c>
      <c r="H454">
        <v>1920</v>
      </c>
    </row>
    <row r="455" spans="4:8">
      <c r="D455" s="15">
        <v>130725</v>
      </c>
      <c r="E455">
        <v>2370</v>
      </c>
      <c r="F455">
        <v>1805</v>
      </c>
      <c r="G455">
        <v>2365</v>
      </c>
      <c r="H455">
        <v>1915</v>
      </c>
    </row>
    <row r="456" spans="4:8">
      <c r="D456" s="15">
        <v>130730</v>
      </c>
      <c r="E456">
        <v>2370</v>
      </c>
      <c r="F456">
        <v>1805</v>
      </c>
      <c r="G456">
        <v>2365</v>
      </c>
      <c r="H456">
        <v>1915</v>
      </c>
    </row>
    <row r="457" spans="4:8">
      <c r="D457" s="15">
        <v>130735</v>
      </c>
      <c r="E457">
        <v>2370</v>
      </c>
      <c r="F457">
        <v>1805</v>
      </c>
      <c r="G457">
        <v>2370</v>
      </c>
      <c r="H457">
        <v>1915</v>
      </c>
    </row>
    <row r="458" spans="4:8">
      <c r="D458" s="15">
        <v>130740</v>
      </c>
      <c r="E458">
        <v>2370</v>
      </c>
      <c r="F458">
        <v>1805</v>
      </c>
      <c r="G458">
        <v>2370</v>
      </c>
      <c r="H458">
        <v>1915</v>
      </c>
    </row>
    <row r="459" spans="4:8">
      <c r="D459" s="15">
        <v>130745</v>
      </c>
      <c r="E459">
        <v>2370</v>
      </c>
      <c r="F459">
        <v>1805</v>
      </c>
      <c r="G459">
        <v>2370</v>
      </c>
      <c r="H459">
        <v>1915</v>
      </c>
    </row>
    <row r="460" spans="4:8">
      <c r="D460" s="15">
        <v>130750</v>
      </c>
      <c r="E460">
        <v>2370</v>
      </c>
      <c r="F460">
        <v>1805</v>
      </c>
      <c r="G460">
        <v>2370</v>
      </c>
      <c r="H460">
        <v>1915</v>
      </c>
    </row>
    <row r="461" spans="4:8">
      <c r="D461" s="15">
        <v>130755</v>
      </c>
      <c r="E461">
        <v>2370</v>
      </c>
      <c r="F461">
        <v>1805</v>
      </c>
      <c r="G461">
        <v>2370</v>
      </c>
      <c r="H461">
        <v>1915</v>
      </c>
    </row>
    <row r="462" spans="4:8">
      <c r="D462" s="15">
        <v>130800</v>
      </c>
      <c r="E462">
        <v>2370</v>
      </c>
      <c r="F462">
        <v>1805</v>
      </c>
      <c r="G462">
        <v>2370</v>
      </c>
      <c r="H462">
        <v>1915</v>
      </c>
    </row>
    <row r="463" spans="4:8">
      <c r="D463" s="15">
        <v>130805</v>
      </c>
      <c r="E463">
        <v>2370</v>
      </c>
      <c r="F463">
        <v>1805</v>
      </c>
      <c r="G463">
        <v>2370</v>
      </c>
      <c r="H463">
        <v>1910</v>
      </c>
    </row>
    <row r="464" spans="4:8">
      <c r="D464" s="15">
        <v>130810</v>
      </c>
      <c r="E464">
        <v>2370</v>
      </c>
      <c r="F464">
        <v>1805</v>
      </c>
      <c r="G464">
        <v>2370</v>
      </c>
      <c r="H464">
        <v>1910</v>
      </c>
    </row>
    <row r="465" spans="4:8">
      <c r="D465" s="15">
        <v>130815</v>
      </c>
      <c r="E465">
        <v>2370</v>
      </c>
      <c r="F465">
        <v>1805</v>
      </c>
      <c r="G465">
        <v>2370</v>
      </c>
      <c r="H465">
        <v>1910</v>
      </c>
    </row>
    <row r="466" spans="4:8">
      <c r="D466" s="15">
        <v>130820</v>
      </c>
      <c r="E466">
        <v>2370</v>
      </c>
      <c r="F466">
        <v>1805</v>
      </c>
      <c r="G466">
        <v>2370</v>
      </c>
      <c r="H466">
        <v>1910</v>
      </c>
    </row>
    <row r="467" spans="4:8">
      <c r="D467" s="15">
        <v>130825</v>
      </c>
      <c r="E467">
        <v>2370</v>
      </c>
      <c r="F467">
        <v>1805</v>
      </c>
      <c r="G467">
        <v>2370</v>
      </c>
      <c r="H467">
        <v>1910</v>
      </c>
    </row>
    <row r="468" spans="4:8">
      <c r="D468" s="15">
        <v>130830</v>
      </c>
      <c r="E468">
        <v>2370</v>
      </c>
      <c r="F468">
        <v>1805</v>
      </c>
      <c r="G468">
        <v>2370</v>
      </c>
      <c r="H468">
        <v>1910</v>
      </c>
    </row>
    <row r="469" spans="4:8">
      <c r="D469" s="15">
        <v>130835</v>
      </c>
      <c r="E469">
        <v>2370</v>
      </c>
      <c r="F469">
        <v>1805</v>
      </c>
      <c r="G469">
        <v>2370</v>
      </c>
      <c r="H469">
        <v>1910</v>
      </c>
    </row>
    <row r="470" spans="4:8">
      <c r="D470" s="15">
        <v>130840</v>
      </c>
      <c r="E470">
        <v>2370</v>
      </c>
      <c r="F470">
        <v>1805</v>
      </c>
      <c r="G470">
        <v>2370</v>
      </c>
      <c r="H470">
        <v>1910</v>
      </c>
    </row>
    <row r="471" spans="4:8">
      <c r="D471" s="15">
        <v>130845</v>
      </c>
      <c r="E471">
        <v>2370</v>
      </c>
      <c r="F471">
        <v>1805</v>
      </c>
      <c r="G471">
        <v>2370</v>
      </c>
      <c r="H471">
        <v>1910</v>
      </c>
    </row>
    <row r="472" spans="4:8">
      <c r="D472" s="15">
        <v>130850</v>
      </c>
      <c r="E472">
        <v>2370</v>
      </c>
      <c r="F472">
        <v>1805</v>
      </c>
      <c r="G472">
        <v>2370</v>
      </c>
      <c r="H472">
        <v>1910</v>
      </c>
    </row>
    <row r="473" spans="4:8">
      <c r="D473" s="15">
        <v>130855</v>
      </c>
      <c r="E473">
        <v>2365</v>
      </c>
      <c r="F473">
        <v>1805</v>
      </c>
      <c r="G473">
        <v>2365</v>
      </c>
      <c r="H473">
        <v>1910</v>
      </c>
    </row>
    <row r="474" spans="4:8">
      <c r="D474" s="15">
        <v>130900</v>
      </c>
      <c r="E474">
        <v>2365</v>
      </c>
      <c r="F474">
        <v>1805</v>
      </c>
      <c r="G474">
        <v>2365</v>
      </c>
      <c r="H474">
        <v>1915</v>
      </c>
    </row>
    <row r="475" spans="4:8">
      <c r="D475" s="15">
        <v>130905</v>
      </c>
      <c r="E475">
        <v>2365</v>
      </c>
      <c r="F475">
        <v>1805</v>
      </c>
      <c r="G475">
        <v>2365</v>
      </c>
      <c r="H475">
        <v>1915</v>
      </c>
    </row>
    <row r="476" spans="4:8">
      <c r="D476" s="15">
        <v>130910</v>
      </c>
      <c r="E476">
        <v>2365</v>
      </c>
      <c r="F476">
        <v>1800</v>
      </c>
      <c r="G476">
        <v>2365</v>
      </c>
      <c r="H476">
        <v>1910</v>
      </c>
    </row>
    <row r="477" spans="4:8">
      <c r="D477" s="15">
        <v>130915</v>
      </c>
      <c r="E477">
        <v>2365</v>
      </c>
      <c r="F477">
        <v>1800</v>
      </c>
      <c r="G477">
        <v>2365</v>
      </c>
      <c r="H477">
        <v>1910</v>
      </c>
    </row>
    <row r="478" spans="4:8">
      <c r="D478" s="15">
        <v>130920</v>
      </c>
      <c r="E478">
        <v>2365</v>
      </c>
      <c r="F478">
        <v>1805</v>
      </c>
      <c r="G478">
        <v>2365</v>
      </c>
      <c r="H478">
        <v>1910</v>
      </c>
    </row>
    <row r="479" spans="4:8">
      <c r="D479" s="15">
        <v>130925</v>
      </c>
      <c r="E479">
        <v>2365</v>
      </c>
      <c r="F479">
        <v>1800</v>
      </c>
      <c r="G479">
        <v>2365</v>
      </c>
      <c r="H479">
        <v>1910</v>
      </c>
    </row>
    <row r="480" spans="4:8">
      <c r="D480" s="15">
        <v>130930</v>
      </c>
      <c r="E480">
        <v>2365</v>
      </c>
      <c r="F480">
        <v>1800</v>
      </c>
      <c r="G480">
        <v>2365</v>
      </c>
      <c r="H480">
        <v>1910</v>
      </c>
    </row>
    <row r="481" spans="4:8">
      <c r="D481" s="15">
        <v>130935</v>
      </c>
      <c r="E481">
        <v>2365</v>
      </c>
      <c r="F481">
        <v>1800</v>
      </c>
      <c r="G481">
        <v>2365</v>
      </c>
      <c r="H481">
        <v>1910</v>
      </c>
    </row>
    <row r="482" spans="4:8">
      <c r="D482" s="15">
        <v>130940</v>
      </c>
      <c r="E482">
        <v>2370</v>
      </c>
      <c r="F482">
        <v>1800</v>
      </c>
      <c r="G482">
        <v>2365</v>
      </c>
      <c r="H482">
        <v>1910</v>
      </c>
    </row>
    <row r="483" spans="4:8">
      <c r="D483" s="15">
        <v>130945</v>
      </c>
      <c r="E483">
        <v>2370</v>
      </c>
      <c r="F483">
        <v>1800</v>
      </c>
      <c r="G483">
        <v>2365</v>
      </c>
      <c r="H483">
        <v>1910</v>
      </c>
    </row>
    <row r="484" spans="4:8">
      <c r="D484" s="15">
        <v>130950</v>
      </c>
      <c r="E484">
        <v>2370</v>
      </c>
      <c r="F484">
        <v>1800</v>
      </c>
      <c r="G484">
        <v>2360</v>
      </c>
      <c r="H484">
        <v>1910</v>
      </c>
    </row>
    <row r="485" spans="4:8">
      <c r="D485" s="15">
        <v>130955</v>
      </c>
      <c r="E485">
        <v>2370</v>
      </c>
      <c r="F485">
        <v>1805</v>
      </c>
      <c r="G485">
        <v>2360</v>
      </c>
      <c r="H485">
        <v>1910</v>
      </c>
    </row>
    <row r="486" spans="4:8">
      <c r="D486" s="15">
        <v>131000</v>
      </c>
      <c r="E486">
        <v>2370</v>
      </c>
      <c r="F486">
        <v>1800</v>
      </c>
      <c r="G486">
        <v>2360</v>
      </c>
      <c r="H486">
        <v>1910</v>
      </c>
    </row>
    <row r="487" spans="4:8">
      <c r="D487" s="15">
        <v>131005</v>
      </c>
      <c r="E487">
        <v>2370</v>
      </c>
      <c r="F487">
        <v>1805</v>
      </c>
      <c r="G487">
        <v>2365</v>
      </c>
      <c r="H487">
        <v>1910</v>
      </c>
    </row>
    <row r="488" spans="4:8">
      <c r="D488" s="15">
        <v>131010</v>
      </c>
      <c r="E488">
        <v>2370</v>
      </c>
      <c r="F488">
        <v>1805</v>
      </c>
      <c r="G488">
        <v>2360</v>
      </c>
      <c r="H488">
        <v>1910</v>
      </c>
    </row>
    <row r="489" spans="4:8">
      <c r="D489" s="15">
        <v>131015</v>
      </c>
      <c r="E489">
        <v>2365</v>
      </c>
      <c r="F489">
        <v>1800</v>
      </c>
      <c r="G489">
        <v>2355</v>
      </c>
      <c r="H489">
        <v>1910</v>
      </c>
    </row>
    <row r="490" spans="4:8">
      <c r="D490" s="15">
        <v>131020</v>
      </c>
      <c r="E490">
        <v>2365</v>
      </c>
      <c r="F490">
        <v>1800</v>
      </c>
      <c r="G490">
        <v>2355</v>
      </c>
      <c r="H490">
        <v>1910</v>
      </c>
    </row>
    <row r="491" spans="4:8">
      <c r="D491" s="15">
        <v>131025</v>
      </c>
      <c r="E491">
        <v>2365</v>
      </c>
      <c r="F491">
        <v>1800</v>
      </c>
      <c r="G491">
        <v>2355</v>
      </c>
      <c r="H491">
        <v>1910</v>
      </c>
    </row>
    <row r="492" spans="4:8">
      <c r="D492" s="15">
        <v>131030</v>
      </c>
      <c r="E492">
        <v>2365</v>
      </c>
      <c r="F492">
        <v>1800</v>
      </c>
      <c r="G492">
        <v>2355</v>
      </c>
      <c r="H492">
        <v>1910</v>
      </c>
    </row>
    <row r="493" spans="4:8">
      <c r="D493" s="15">
        <v>131035</v>
      </c>
      <c r="E493">
        <v>2365</v>
      </c>
      <c r="F493">
        <v>1805</v>
      </c>
      <c r="G493">
        <v>2355</v>
      </c>
      <c r="H493">
        <v>1910</v>
      </c>
    </row>
    <row r="494" spans="4:8">
      <c r="D494" s="15">
        <v>131040</v>
      </c>
      <c r="E494">
        <v>2370</v>
      </c>
      <c r="F494">
        <v>1800</v>
      </c>
      <c r="G494">
        <v>2355</v>
      </c>
      <c r="H494">
        <v>1910</v>
      </c>
    </row>
    <row r="495" spans="4:8">
      <c r="D495" s="15">
        <v>131045</v>
      </c>
      <c r="E495">
        <v>2365</v>
      </c>
      <c r="F495">
        <v>1800</v>
      </c>
      <c r="G495">
        <v>2350</v>
      </c>
      <c r="H495">
        <v>1910</v>
      </c>
    </row>
    <row r="496" spans="4:8">
      <c r="D496" s="15">
        <v>131050</v>
      </c>
      <c r="E496">
        <v>2365</v>
      </c>
      <c r="F496">
        <v>1800</v>
      </c>
      <c r="G496">
        <v>2345</v>
      </c>
      <c r="H496">
        <v>1910</v>
      </c>
    </row>
    <row r="497" spans="4:8">
      <c r="D497" s="15">
        <v>131055</v>
      </c>
      <c r="E497">
        <v>2365</v>
      </c>
      <c r="F497">
        <v>1800</v>
      </c>
      <c r="G497">
        <v>2345</v>
      </c>
      <c r="H497">
        <v>1910</v>
      </c>
    </row>
    <row r="498" spans="4:8">
      <c r="D498" s="15">
        <v>131100</v>
      </c>
      <c r="E498">
        <v>2365</v>
      </c>
      <c r="F498">
        <v>1800</v>
      </c>
      <c r="G498">
        <v>2345</v>
      </c>
      <c r="H498">
        <v>1910</v>
      </c>
    </row>
    <row r="499" spans="4:8">
      <c r="D499" s="15">
        <v>131105</v>
      </c>
      <c r="E499">
        <v>2365</v>
      </c>
      <c r="F499">
        <v>1800</v>
      </c>
      <c r="G499">
        <v>2345</v>
      </c>
      <c r="H499">
        <v>1910</v>
      </c>
    </row>
    <row r="500" spans="4:8">
      <c r="D500" s="15">
        <v>131110</v>
      </c>
      <c r="E500">
        <v>2365</v>
      </c>
      <c r="F500">
        <v>1800</v>
      </c>
      <c r="G500">
        <v>2345</v>
      </c>
      <c r="H500">
        <v>1910</v>
      </c>
    </row>
    <row r="501" spans="4:8">
      <c r="D501" s="15">
        <v>131115</v>
      </c>
      <c r="E501">
        <v>2365</v>
      </c>
      <c r="F501">
        <v>1800</v>
      </c>
      <c r="G501">
        <v>2345</v>
      </c>
      <c r="H501">
        <v>1915</v>
      </c>
    </row>
    <row r="502" spans="4:8">
      <c r="D502" s="15">
        <v>131120</v>
      </c>
      <c r="E502">
        <v>2365</v>
      </c>
      <c r="F502">
        <v>1800</v>
      </c>
      <c r="G502">
        <v>2345</v>
      </c>
      <c r="H502">
        <v>1910</v>
      </c>
    </row>
    <row r="503" spans="4:8">
      <c r="D503" s="15">
        <v>131125</v>
      </c>
      <c r="E503">
        <v>2365</v>
      </c>
      <c r="F503">
        <v>1800</v>
      </c>
      <c r="G503">
        <v>2345</v>
      </c>
      <c r="H503">
        <v>1910</v>
      </c>
    </row>
    <row r="504" spans="4:8">
      <c r="D504" s="15">
        <v>131130</v>
      </c>
      <c r="E504">
        <v>2365</v>
      </c>
      <c r="F504">
        <v>1800</v>
      </c>
      <c r="G504">
        <v>2345</v>
      </c>
      <c r="H504">
        <v>1910</v>
      </c>
    </row>
    <row r="505" spans="4:8">
      <c r="D505" s="15">
        <v>131135</v>
      </c>
      <c r="E505">
        <v>2365</v>
      </c>
      <c r="F505">
        <v>1800</v>
      </c>
      <c r="G505">
        <v>2345</v>
      </c>
      <c r="H505">
        <v>1910</v>
      </c>
    </row>
    <row r="506" spans="4:8">
      <c r="D506" s="15">
        <v>131140</v>
      </c>
      <c r="E506">
        <v>2365</v>
      </c>
      <c r="F506">
        <v>1805</v>
      </c>
      <c r="G506">
        <v>2345</v>
      </c>
      <c r="H506">
        <v>1910</v>
      </c>
    </row>
    <row r="507" spans="4:8">
      <c r="D507" s="15">
        <v>131145</v>
      </c>
      <c r="E507">
        <v>2365</v>
      </c>
      <c r="F507">
        <v>1800</v>
      </c>
      <c r="G507">
        <v>2345</v>
      </c>
      <c r="H507">
        <v>1910</v>
      </c>
    </row>
    <row r="508" spans="4:8">
      <c r="D508" s="15">
        <v>131150</v>
      </c>
      <c r="E508">
        <v>2365</v>
      </c>
      <c r="F508">
        <v>1800</v>
      </c>
      <c r="G508">
        <v>2345</v>
      </c>
      <c r="H508">
        <v>1910</v>
      </c>
    </row>
    <row r="509" spans="4:8">
      <c r="D509" s="15">
        <v>131155</v>
      </c>
      <c r="E509">
        <v>2365</v>
      </c>
      <c r="F509">
        <v>1800</v>
      </c>
      <c r="G509">
        <v>2345</v>
      </c>
      <c r="H509">
        <v>1910</v>
      </c>
    </row>
    <row r="510" spans="4:8">
      <c r="D510" s="15">
        <v>131200</v>
      </c>
      <c r="E510">
        <v>2365</v>
      </c>
      <c r="F510">
        <v>1800</v>
      </c>
      <c r="G510">
        <v>2345</v>
      </c>
      <c r="H510">
        <v>1915</v>
      </c>
    </row>
    <row r="511" spans="4:8">
      <c r="D511" s="15">
        <v>131205</v>
      </c>
      <c r="E511">
        <v>2365</v>
      </c>
      <c r="F511">
        <v>1800</v>
      </c>
      <c r="G511">
        <v>2345</v>
      </c>
      <c r="H511">
        <v>1910</v>
      </c>
    </row>
    <row r="512" spans="4:8">
      <c r="D512" s="15">
        <v>131210</v>
      </c>
      <c r="E512">
        <v>2365</v>
      </c>
      <c r="F512">
        <v>1800</v>
      </c>
      <c r="G512">
        <v>2345</v>
      </c>
      <c r="H512">
        <v>1910</v>
      </c>
    </row>
    <row r="513" spans="4:8">
      <c r="D513" s="15">
        <v>131215</v>
      </c>
      <c r="E513">
        <v>2365</v>
      </c>
      <c r="F513">
        <v>1800</v>
      </c>
      <c r="G513">
        <v>2350</v>
      </c>
      <c r="H513">
        <v>1915</v>
      </c>
    </row>
    <row r="514" spans="4:8">
      <c r="D514" s="15">
        <v>131220</v>
      </c>
      <c r="E514">
        <v>2365</v>
      </c>
      <c r="F514">
        <v>1800</v>
      </c>
      <c r="G514">
        <v>2350</v>
      </c>
      <c r="H514">
        <v>1910</v>
      </c>
    </row>
    <row r="515" spans="4:8">
      <c r="D515" s="15">
        <v>131225</v>
      </c>
      <c r="E515">
        <v>2370</v>
      </c>
      <c r="F515">
        <v>1800</v>
      </c>
      <c r="G515">
        <v>2360</v>
      </c>
      <c r="H515">
        <v>1910</v>
      </c>
    </row>
    <row r="516" spans="4:8">
      <c r="D516" s="15">
        <v>131230</v>
      </c>
      <c r="E516">
        <v>2370</v>
      </c>
      <c r="F516">
        <v>1800</v>
      </c>
      <c r="G516">
        <v>2360</v>
      </c>
      <c r="H516">
        <v>1910</v>
      </c>
    </row>
    <row r="517" spans="4:8">
      <c r="D517" s="15">
        <v>131235</v>
      </c>
      <c r="E517">
        <v>2370</v>
      </c>
      <c r="F517">
        <v>1805</v>
      </c>
      <c r="G517">
        <v>2350</v>
      </c>
      <c r="H517">
        <v>1910</v>
      </c>
    </row>
    <row r="518" spans="4:8">
      <c r="D518" s="15">
        <v>131240</v>
      </c>
      <c r="E518">
        <v>2370</v>
      </c>
      <c r="F518">
        <v>1805</v>
      </c>
      <c r="G518">
        <v>2350</v>
      </c>
      <c r="H518">
        <v>1910</v>
      </c>
    </row>
    <row r="519" spans="4:8">
      <c r="D519" s="15">
        <v>131245</v>
      </c>
      <c r="E519">
        <v>2365</v>
      </c>
      <c r="F519">
        <v>1805</v>
      </c>
      <c r="G519">
        <v>2350</v>
      </c>
      <c r="H519">
        <v>1910</v>
      </c>
    </row>
    <row r="520" spans="4:8">
      <c r="D520" s="15">
        <v>131250</v>
      </c>
      <c r="E520">
        <v>2365</v>
      </c>
      <c r="F520">
        <v>1800</v>
      </c>
      <c r="G520">
        <v>2350</v>
      </c>
      <c r="H520">
        <v>1910</v>
      </c>
    </row>
    <row r="521" spans="4:8">
      <c r="D521" s="15">
        <v>131255</v>
      </c>
      <c r="E521">
        <v>2365</v>
      </c>
      <c r="F521">
        <v>1805</v>
      </c>
      <c r="G521">
        <v>2350</v>
      </c>
      <c r="H521">
        <v>1910</v>
      </c>
    </row>
    <row r="522" spans="4:8">
      <c r="D522" s="15">
        <v>131300</v>
      </c>
      <c r="E522">
        <v>2365</v>
      </c>
      <c r="F522">
        <v>1805</v>
      </c>
      <c r="G522">
        <v>2350</v>
      </c>
      <c r="H522">
        <v>1910</v>
      </c>
    </row>
    <row r="523" spans="4:8">
      <c r="D523" s="15">
        <v>131305</v>
      </c>
      <c r="E523">
        <v>2365</v>
      </c>
      <c r="F523">
        <v>1800</v>
      </c>
      <c r="G523">
        <v>2350</v>
      </c>
      <c r="H523">
        <v>1905</v>
      </c>
    </row>
    <row r="524" spans="4:8">
      <c r="D524" s="15">
        <v>131310</v>
      </c>
      <c r="E524">
        <v>2370</v>
      </c>
      <c r="F524">
        <v>1800</v>
      </c>
      <c r="G524">
        <v>2355</v>
      </c>
      <c r="H524">
        <v>1910</v>
      </c>
    </row>
    <row r="525" spans="4:8">
      <c r="D525" s="15">
        <v>131315</v>
      </c>
      <c r="E525">
        <v>2370</v>
      </c>
      <c r="F525">
        <v>1800</v>
      </c>
      <c r="G525">
        <v>2355</v>
      </c>
      <c r="H525">
        <v>1905</v>
      </c>
    </row>
    <row r="526" spans="4:8">
      <c r="D526" s="15">
        <v>131320</v>
      </c>
      <c r="E526">
        <v>2370</v>
      </c>
      <c r="F526">
        <v>1800</v>
      </c>
      <c r="G526">
        <v>2355</v>
      </c>
      <c r="H526">
        <v>1905</v>
      </c>
    </row>
    <row r="527" spans="4:8">
      <c r="D527" s="15">
        <v>131325</v>
      </c>
      <c r="E527">
        <v>2370</v>
      </c>
      <c r="F527">
        <v>1800</v>
      </c>
      <c r="G527">
        <v>2350</v>
      </c>
      <c r="H527">
        <v>1905</v>
      </c>
    </row>
    <row r="528" spans="4:8">
      <c r="D528" s="15">
        <v>131330</v>
      </c>
      <c r="E528">
        <v>2370</v>
      </c>
      <c r="F528">
        <v>1800</v>
      </c>
      <c r="G528">
        <v>2350</v>
      </c>
      <c r="H528">
        <v>1905</v>
      </c>
    </row>
    <row r="529" spans="4:8">
      <c r="D529" s="15">
        <v>131335</v>
      </c>
      <c r="E529">
        <v>2370</v>
      </c>
      <c r="F529">
        <v>1800</v>
      </c>
      <c r="G529">
        <v>2350</v>
      </c>
      <c r="H529">
        <v>1905</v>
      </c>
    </row>
    <row r="530" spans="4:8">
      <c r="D530" s="15">
        <v>131340</v>
      </c>
      <c r="E530">
        <v>2370</v>
      </c>
      <c r="F530">
        <v>1800</v>
      </c>
      <c r="G530">
        <v>2350</v>
      </c>
      <c r="H530">
        <v>1910</v>
      </c>
    </row>
    <row r="531" spans="4:8">
      <c r="D531" s="15">
        <v>131345</v>
      </c>
      <c r="E531">
        <v>2370</v>
      </c>
      <c r="F531">
        <v>1800</v>
      </c>
      <c r="G531">
        <v>2350</v>
      </c>
      <c r="H531">
        <v>1905</v>
      </c>
    </row>
    <row r="532" spans="4:8">
      <c r="D532" s="15">
        <v>131350</v>
      </c>
      <c r="E532">
        <v>2370</v>
      </c>
      <c r="F532">
        <v>1800</v>
      </c>
      <c r="G532">
        <v>2350</v>
      </c>
      <c r="H532">
        <v>1905</v>
      </c>
    </row>
    <row r="533" spans="4:8">
      <c r="D533" s="15">
        <v>131355</v>
      </c>
      <c r="E533">
        <v>2370</v>
      </c>
      <c r="F533">
        <v>1800</v>
      </c>
      <c r="G533">
        <v>2350</v>
      </c>
      <c r="H533">
        <v>1905</v>
      </c>
    </row>
    <row r="534" spans="4:8">
      <c r="D534" s="15">
        <v>131400</v>
      </c>
      <c r="E534">
        <v>2370</v>
      </c>
      <c r="F534">
        <v>1800</v>
      </c>
      <c r="G534">
        <v>2350</v>
      </c>
      <c r="H534">
        <v>1910</v>
      </c>
    </row>
    <row r="535" spans="4:8">
      <c r="D535" s="15">
        <v>131405</v>
      </c>
      <c r="E535">
        <v>2370</v>
      </c>
      <c r="F535">
        <v>1800</v>
      </c>
      <c r="G535">
        <v>2350</v>
      </c>
      <c r="H535">
        <v>1905</v>
      </c>
    </row>
    <row r="536" spans="4:8">
      <c r="D536" s="15">
        <v>131410</v>
      </c>
      <c r="E536">
        <v>2370</v>
      </c>
      <c r="F536">
        <v>1800</v>
      </c>
      <c r="G536">
        <v>2350</v>
      </c>
      <c r="H536">
        <v>1905</v>
      </c>
    </row>
    <row r="537" spans="4:8">
      <c r="D537" s="15">
        <v>131415</v>
      </c>
      <c r="E537">
        <v>2370</v>
      </c>
      <c r="F537">
        <v>1800</v>
      </c>
      <c r="G537">
        <v>2350</v>
      </c>
      <c r="H537">
        <v>1905</v>
      </c>
    </row>
    <row r="538" spans="4:8">
      <c r="D538" s="15">
        <v>131420</v>
      </c>
      <c r="E538">
        <v>2370</v>
      </c>
      <c r="F538">
        <v>1800</v>
      </c>
      <c r="G538">
        <v>2350</v>
      </c>
      <c r="H538">
        <v>1905</v>
      </c>
    </row>
    <row r="539" spans="4:8">
      <c r="D539" s="15">
        <v>131425</v>
      </c>
      <c r="E539">
        <v>2370</v>
      </c>
      <c r="F539">
        <v>1800</v>
      </c>
      <c r="G539">
        <v>2350</v>
      </c>
      <c r="H539">
        <v>1905</v>
      </c>
    </row>
    <row r="540" spans="4:8">
      <c r="D540" s="15">
        <v>131430</v>
      </c>
      <c r="E540">
        <v>2370</v>
      </c>
      <c r="F540">
        <v>1800</v>
      </c>
      <c r="G540">
        <v>2350</v>
      </c>
      <c r="H540">
        <v>1905</v>
      </c>
    </row>
    <row r="541" spans="4:8">
      <c r="D541" s="15">
        <v>131435</v>
      </c>
      <c r="E541">
        <v>2370</v>
      </c>
      <c r="F541">
        <v>1800</v>
      </c>
      <c r="G541">
        <v>2350</v>
      </c>
      <c r="H541">
        <v>1905</v>
      </c>
    </row>
    <row r="542" spans="4:8">
      <c r="D542" s="15">
        <v>131440</v>
      </c>
      <c r="E542">
        <v>2370</v>
      </c>
      <c r="F542">
        <v>1800</v>
      </c>
      <c r="G542">
        <v>2350</v>
      </c>
      <c r="H542">
        <v>1905</v>
      </c>
    </row>
    <row r="543" spans="4:8">
      <c r="D543" s="15">
        <v>131445</v>
      </c>
      <c r="E543">
        <v>2370</v>
      </c>
      <c r="F543">
        <v>1800</v>
      </c>
      <c r="G543">
        <v>2350</v>
      </c>
      <c r="H543">
        <v>1905</v>
      </c>
    </row>
    <row r="544" spans="4:8">
      <c r="D544" s="15">
        <v>131450</v>
      </c>
      <c r="E544">
        <v>2370</v>
      </c>
      <c r="F544">
        <v>1800</v>
      </c>
      <c r="G544">
        <v>2350</v>
      </c>
      <c r="H544">
        <v>1910</v>
      </c>
    </row>
    <row r="545" spans="4:8">
      <c r="D545" s="15">
        <v>131455</v>
      </c>
      <c r="E545">
        <v>2370</v>
      </c>
      <c r="F545">
        <v>1805</v>
      </c>
      <c r="G545">
        <v>2350</v>
      </c>
      <c r="H545">
        <v>1905</v>
      </c>
    </row>
    <row r="546" spans="4:8">
      <c r="D546" s="15">
        <v>131500</v>
      </c>
      <c r="E546">
        <v>2370</v>
      </c>
      <c r="F546">
        <v>1805</v>
      </c>
      <c r="G546">
        <v>2350</v>
      </c>
      <c r="H546">
        <v>1910</v>
      </c>
    </row>
    <row r="547" spans="4:8">
      <c r="D547" s="15">
        <v>131505</v>
      </c>
      <c r="E547">
        <v>2370</v>
      </c>
      <c r="F547">
        <v>1805</v>
      </c>
      <c r="G547">
        <v>2360</v>
      </c>
      <c r="H547">
        <v>1905</v>
      </c>
    </row>
    <row r="548" spans="4:8">
      <c r="D548" s="15">
        <v>131510</v>
      </c>
      <c r="E548">
        <v>2370</v>
      </c>
      <c r="F548">
        <v>1800</v>
      </c>
      <c r="G548">
        <v>2360</v>
      </c>
      <c r="H548">
        <v>1905</v>
      </c>
    </row>
    <row r="549" spans="4:8">
      <c r="D549" s="15">
        <v>131515</v>
      </c>
      <c r="E549">
        <v>2365</v>
      </c>
      <c r="F549">
        <v>1800</v>
      </c>
      <c r="G549">
        <v>2360</v>
      </c>
      <c r="H549">
        <v>1905</v>
      </c>
    </row>
    <row r="550" spans="4:8">
      <c r="D550" s="15">
        <v>131520</v>
      </c>
      <c r="E550">
        <v>2365</v>
      </c>
      <c r="F550">
        <v>1800</v>
      </c>
      <c r="G550">
        <v>2360</v>
      </c>
      <c r="H550">
        <v>1910</v>
      </c>
    </row>
    <row r="551" spans="4:8">
      <c r="D551" s="15">
        <v>131525</v>
      </c>
      <c r="E551">
        <v>2360</v>
      </c>
      <c r="F551">
        <v>1800</v>
      </c>
      <c r="G551">
        <v>2360</v>
      </c>
      <c r="H551">
        <v>1905</v>
      </c>
    </row>
    <row r="552" spans="4:8">
      <c r="D552" s="15">
        <v>131530</v>
      </c>
      <c r="E552">
        <v>2365</v>
      </c>
      <c r="F552">
        <v>1805</v>
      </c>
      <c r="G552">
        <v>2360</v>
      </c>
      <c r="H552">
        <v>1905</v>
      </c>
    </row>
    <row r="553" spans="4:8">
      <c r="D553" s="15">
        <v>131535</v>
      </c>
      <c r="E553">
        <v>2365</v>
      </c>
      <c r="F553">
        <v>1800</v>
      </c>
      <c r="G553">
        <v>2360</v>
      </c>
      <c r="H553">
        <v>1905</v>
      </c>
    </row>
    <row r="554" spans="4:8">
      <c r="D554" s="15">
        <v>131540</v>
      </c>
      <c r="E554">
        <v>2365</v>
      </c>
      <c r="F554">
        <v>1800</v>
      </c>
      <c r="G554">
        <v>2360</v>
      </c>
      <c r="H554">
        <v>1905</v>
      </c>
    </row>
    <row r="555" spans="4:8">
      <c r="D555" s="15">
        <v>131545</v>
      </c>
      <c r="E555">
        <v>2365</v>
      </c>
      <c r="F555">
        <v>1800</v>
      </c>
      <c r="G555">
        <v>2360</v>
      </c>
      <c r="H555">
        <v>1905</v>
      </c>
    </row>
    <row r="556" spans="4:8">
      <c r="D556" s="15">
        <v>131550</v>
      </c>
      <c r="E556">
        <v>2365</v>
      </c>
      <c r="F556">
        <v>1800</v>
      </c>
      <c r="G556">
        <v>2360</v>
      </c>
      <c r="H556">
        <v>1905</v>
      </c>
    </row>
    <row r="557" spans="4:8">
      <c r="D557" s="15">
        <v>131555</v>
      </c>
      <c r="E557">
        <v>2365</v>
      </c>
      <c r="F557">
        <v>1800</v>
      </c>
      <c r="G557">
        <v>2360</v>
      </c>
      <c r="H557">
        <v>1910</v>
      </c>
    </row>
    <row r="558" spans="4:8">
      <c r="D558" s="15">
        <v>131600</v>
      </c>
      <c r="E558">
        <v>2365</v>
      </c>
      <c r="F558">
        <v>1800</v>
      </c>
      <c r="G558">
        <v>2360</v>
      </c>
      <c r="H558">
        <v>1910</v>
      </c>
    </row>
    <row r="559" spans="4:8">
      <c r="D559" s="15">
        <v>131605</v>
      </c>
      <c r="E559">
        <v>2365</v>
      </c>
      <c r="F559">
        <v>1800</v>
      </c>
      <c r="G559">
        <v>2360</v>
      </c>
      <c r="H559">
        <v>1905</v>
      </c>
    </row>
    <row r="560" spans="4:8">
      <c r="D560" s="15">
        <v>131610</v>
      </c>
      <c r="E560">
        <v>2365</v>
      </c>
      <c r="F560">
        <v>1800</v>
      </c>
      <c r="G560">
        <v>2350</v>
      </c>
      <c r="H560">
        <v>1910</v>
      </c>
    </row>
    <row r="561" spans="4:8">
      <c r="D561" s="15">
        <v>131615</v>
      </c>
      <c r="E561">
        <v>2360</v>
      </c>
      <c r="F561">
        <v>1800</v>
      </c>
      <c r="G561">
        <v>2350</v>
      </c>
      <c r="H561">
        <v>1905</v>
      </c>
    </row>
    <row r="562" spans="4:8">
      <c r="D562" s="15">
        <v>131620</v>
      </c>
      <c r="E562">
        <v>2365</v>
      </c>
      <c r="F562">
        <v>1800</v>
      </c>
      <c r="G562">
        <v>2350</v>
      </c>
      <c r="H562">
        <v>1905</v>
      </c>
    </row>
    <row r="563" spans="4:8">
      <c r="D563" s="15">
        <v>131625</v>
      </c>
      <c r="E563">
        <v>2360</v>
      </c>
      <c r="F563">
        <v>1805</v>
      </c>
      <c r="G563">
        <v>2350</v>
      </c>
      <c r="H563">
        <v>1910</v>
      </c>
    </row>
    <row r="564" spans="4:8">
      <c r="D564" s="15">
        <v>131630</v>
      </c>
      <c r="E564">
        <v>2360</v>
      </c>
      <c r="F564">
        <v>1800</v>
      </c>
      <c r="G564">
        <v>2350</v>
      </c>
      <c r="H564">
        <v>1905</v>
      </c>
    </row>
    <row r="565" spans="4:8">
      <c r="D565" s="15">
        <v>131635</v>
      </c>
      <c r="E565">
        <v>2360</v>
      </c>
      <c r="F565">
        <v>1800</v>
      </c>
      <c r="G565">
        <v>2350</v>
      </c>
      <c r="H565">
        <v>1905</v>
      </c>
    </row>
    <row r="566" spans="4:8">
      <c r="D566" s="15">
        <v>131640</v>
      </c>
      <c r="E566">
        <v>2360</v>
      </c>
      <c r="F566">
        <v>1800</v>
      </c>
      <c r="G566">
        <v>2350</v>
      </c>
      <c r="H566">
        <v>1910</v>
      </c>
    </row>
    <row r="567" spans="4:8">
      <c r="D567" s="15">
        <v>131645</v>
      </c>
      <c r="E567">
        <v>2360</v>
      </c>
      <c r="F567">
        <v>1800</v>
      </c>
      <c r="G567">
        <v>2350</v>
      </c>
      <c r="H567">
        <v>1905</v>
      </c>
    </row>
    <row r="568" spans="4:8">
      <c r="D568" s="15">
        <v>131650</v>
      </c>
      <c r="E568">
        <v>2360</v>
      </c>
      <c r="F568">
        <v>1800</v>
      </c>
      <c r="G568">
        <v>2350</v>
      </c>
      <c r="H568">
        <v>1905</v>
      </c>
    </row>
    <row r="569" spans="4:8">
      <c r="D569" s="15">
        <v>131655</v>
      </c>
      <c r="E569">
        <v>2360</v>
      </c>
      <c r="F569">
        <v>1800</v>
      </c>
      <c r="G569">
        <v>2350</v>
      </c>
      <c r="H569">
        <v>1910</v>
      </c>
    </row>
    <row r="570" spans="4:8">
      <c r="D570" s="15">
        <v>131700</v>
      </c>
      <c r="E570">
        <v>2360</v>
      </c>
      <c r="F570">
        <v>1805</v>
      </c>
      <c r="G570">
        <v>2350</v>
      </c>
      <c r="H570">
        <v>1910</v>
      </c>
    </row>
    <row r="571" spans="4:8">
      <c r="D571" s="15">
        <v>131705</v>
      </c>
      <c r="E571">
        <v>2360</v>
      </c>
      <c r="F571">
        <v>1800</v>
      </c>
      <c r="G571">
        <v>2350</v>
      </c>
      <c r="H571">
        <v>1905</v>
      </c>
    </row>
    <row r="572" spans="4:8">
      <c r="D572" s="15">
        <v>131710</v>
      </c>
      <c r="E572">
        <v>2360</v>
      </c>
      <c r="F572">
        <v>1800</v>
      </c>
      <c r="G572">
        <v>2350</v>
      </c>
      <c r="H572">
        <v>1910</v>
      </c>
    </row>
    <row r="573" spans="4:8">
      <c r="D573" s="15">
        <v>131715</v>
      </c>
      <c r="E573">
        <v>2360</v>
      </c>
      <c r="F573">
        <v>1800</v>
      </c>
      <c r="G573">
        <v>2360</v>
      </c>
      <c r="H573">
        <v>1905</v>
      </c>
    </row>
    <row r="574" spans="4:8">
      <c r="D574" s="15">
        <v>131720</v>
      </c>
      <c r="E574">
        <v>2360</v>
      </c>
      <c r="F574">
        <v>1800</v>
      </c>
      <c r="G574">
        <v>2360</v>
      </c>
      <c r="H574">
        <v>1905</v>
      </c>
    </row>
    <row r="575" spans="4:8">
      <c r="D575" s="15">
        <v>131725</v>
      </c>
      <c r="E575">
        <v>2360</v>
      </c>
      <c r="F575">
        <v>1800</v>
      </c>
      <c r="G575">
        <v>2360</v>
      </c>
      <c r="H575">
        <v>1910</v>
      </c>
    </row>
    <row r="576" spans="4:8">
      <c r="D576" s="15">
        <v>131730</v>
      </c>
      <c r="E576">
        <v>2365</v>
      </c>
      <c r="F576">
        <v>1800</v>
      </c>
      <c r="G576">
        <v>2360</v>
      </c>
      <c r="H576">
        <v>1905</v>
      </c>
    </row>
    <row r="577" spans="4:8">
      <c r="D577" s="15">
        <v>131735</v>
      </c>
      <c r="E577">
        <v>2365</v>
      </c>
      <c r="F577">
        <v>1800</v>
      </c>
      <c r="G577">
        <v>2360</v>
      </c>
      <c r="H577">
        <v>1905</v>
      </c>
    </row>
    <row r="578" spans="4:8">
      <c r="D578" s="15">
        <v>131740</v>
      </c>
      <c r="E578">
        <v>2365</v>
      </c>
      <c r="F578">
        <v>1800</v>
      </c>
      <c r="G578">
        <v>2360</v>
      </c>
      <c r="H578">
        <v>1910</v>
      </c>
    </row>
    <row r="579" spans="4:8">
      <c r="D579" s="15">
        <v>131745</v>
      </c>
      <c r="E579">
        <v>2365</v>
      </c>
      <c r="F579">
        <v>1800</v>
      </c>
      <c r="G579">
        <v>2355</v>
      </c>
      <c r="H579">
        <v>1905</v>
      </c>
    </row>
    <row r="580" spans="4:8">
      <c r="D580" s="15">
        <v>131750</v>
      </c>
      <c r="E580">
        <v>2365</v>
      </c>
      <c r="F580">
        <v>1800</v>
      </c>
      <c r="G580">
        <v>2355</v>
      </c>
      <c r="H580">
        <v>1905</v>
      </c>
    </row>
    <row r="581" spans="4:8">
      <c r="D581" s="15">
        <v>131755</v>
      </c>
      <c r="E581">
        <v>2365</v>
      </c>
      <c r="F581">
        <v>1800</v>
      </c>
      <c r="G581">
        <v>2355</v>
      </c>
      <c r="H581">
        <v>1905</v>
      </c>
    </row>
    <row r="582" spans="4:8">
      <c r="D582" s="15">
        <v>131800</v>
      </c>
      <c r="E582">
        <v>2365</v>
      </c>
      <c r="F582">
        <v>1800</v>
      </c>
      <c r="G582">
        <v>2355</v>
      </c>
      <c r="H582">
        <v>1910</v>
      </c>
    </row>
    <row r="583" spans="4:8">
      <c r="D583" s="15">
        <v>131805</v>
      </c>
      <c r="E583">
        <v>2365</v>
      </c>
      <c r="F583">
        <v>1800</v>
      </c>
      <c r="G583">
        <v>2355</v>
      </c>
      <c r="H583">
        <v>1905</v>
      </c>
    </row>
    <row r="584" spans="4:8">
      <c r="D584" s="15">
        <v>131810</v>
      </c>
      <c r="E584">
        <v>2365</v>
      </c>
      <c r="F584">
        <v>1805</v>
      </c>
      <c r="G584">
        <v>2355</v>
      </c>
      <c r="H584">
        <v>1905</v>
      </c>
    </row>
    <row r="585" spans="4:8">
      <c r="D585" s="15">
        <v>131815</v>
      </c>
      <c r="E585">
        <v>2365</v>
      </c>
      <c r="F585">
        <v>1800</v>
      </c>
      <c r="G585">
        <v>2355</v>
      </c>
      <c r="H585">
        <v>1905</v>
      </c>
    </row>
    <row r="586" spans="4:8">
      <c r="D586" s="15">
        <v>131820</v>
      </c>
      <c r="E586">
        <v>2365</v>
      </c>
      <c r="F586">
        <v>1800</v>
      </c>
      <c r="G586">
        <v>2355</v>
      </c>
      <c r="H586">
        <v>1905</v>
      </c>
    </row>
    <row r="587" spans="4:8">
      <c r="D587" s="15">
        <v>131825</v>
      </c>
      <c r="E587">
        <v>2365</v>
      </c>
      <c r="F587">
        <v>1800</v>
      </c>
      <c r="G587">
        <v>2355</v>
      </c>
      <c r="H587">
        <v>1905</v>
      </c>
    </row>
    <row r="588" spans="4:8">
      <c r="D588" s="15">
        <v>131830</v>
      </c>
      <c r="E588">
        <v>2365</v>
      </c>
      <c r="F588">
        <v>1800</v>
      </c>
      <c r="G588">
        <v>2355</v>
      </c>
      <c r="H588">
        <v>1905</v>
      </c>
    </row>
    <row r="589" spans="4:8">
      <c r="D589" s="15">
        <v>131835</v>
      </c>
      <c r="E589">
        <v>2365</v>
      </c>
      <c r="F589">
        <v>1800</v>
      </c>
      <c r="G589">
        <v>2360</v>
      </c>
      <c r="H589">
        <v>1905</v>
      </c>
    </row>
    <row r="590" spans="4:8">
      <c r="D590" s="15">
        <v>131840</v>
      </c>
      <c r="E590">
        <v>2365</v>
      </c>
      <c r="F590">
        <v>1800</v>
      </c>
      <c r="G590">
        <v>2360</v>
      </c>
      <c r="H590">
        <v>1905</v>
      </c>
    </row>
    <row r="591" spans="4:8">
      <c r="D591" s="15">
        <v>131845</v>
      </c>
      <c r="E591">
        <v>2365</v>
      </c>
      <c r="F591">
        <v>1800</v>
      </c>
      <c r="G591">
        <v>2360</v>
      </c>
      <c r="H591">
        <v>1905</v>
      </c>
    </row>
    <row r="592" spans="4:8">
      <c r="D592" s="15">
        <v>131850</v>
      </c>
      <c r="E592">
        <v>2360</v>
      </c>
      <c r="F592">
        <v>1800</v>
      </c>
      <c r="G592">
        <v>2360</v>
      </c>
      <c r="H592">
        <v>1905</v>
      </c>
    </row>
    <row r="593" spans="4:8">
      <c r="D593" s="15">
        <v>131855</v>
      </c>
      <c r="E593">
        <v>2360</v>
      </c>
      <c r="F593">
        <v>1800</v>
      </c>
      <c r="G593">
        <v>2360</v>
      </c>
      <c r="H593">
        <v>1905</v>
      </c>
    </row>
    <row r="594" spans="4:8">
      <c r="D594" s="15">
        <v>131900</v>
      </c>
      <c r="E594">
        <v>2360</v>
      </c>
      <c r="F594">
        <v>1800</v>
      </c>
      <c r="G594">
        <v>2360</v>
      </c>
      <c r="H594">
        <v>1905</v>
      </c>
    </row>
    <row r="595" spans="4:8">
      <c r="D595" s="15">
        <v>131905</v>
      </c>
      <c r="E595">
        <v>2365</v>
      </c>
      <c r="F595">
        <v>1800</v>
      </c>
      <c r="G595">
        <v>2360</v>
      </c>
      <c r="H595">
        <v>1905</v>
      </c>
    </row>
    <row r="596" spans="4:8">
      <c r="D596" s="15">
        <v>131910</v>
      </c>
      <c r="E596">
        <v>2370</v>
      </c>
      <c r="F596">
        <v>1800</v>
      </c>
      <c r="G596">
        <v>2360</v>
      </c>
      <c r="H596">
        <v>1905</v>
      </c>
    </row>
    <row r="597" spans="4:8">
      <c r="D597" s="15">
        <v>131915</v>
      </c>
      <c r="E597">
        <v>2370</v>
      </c>
      <c r="F597">
        <v>1800</v>
      </c>
      <c r="G597">
        <v>2360</v>
      </c>
      <c r="H597">
        <v>1905</v>
      </c>
    </row>
    <row r="598" spans="4:8">
      <c r="D598" s="15">
        <v>131920</v>
      </c>
      <c r="E598">
        <v>2370</v>
      </c>
      <c r="F598">
        <v>1800</v>
      </c>
      <c r="G598">
        <v>2360</v>
      </c>
      <c r="H598">
        <v>1905</v>
      </c>
    </row>
    <row r="599" spans="4:8">
      <c r="D599" s="15">
        <v>131925</v>
      </c>
      <c r="E599">
        <v>2370</v>
      </c>
      <c r="F599">
        <v>1805</v>
      </c>
      <c r="G599">
        <v>2360</v>
      </c>
      <c r="H599">
        <v>1905</v>
      </c>
    </row>
    <row r="600" spans="4:8">
      <c r="D600" s="15">
        <v>131930</v>
      </c>
      <c r="E600">
        <v>2370</v>
      </c>
      <c r="F600">
        <v>1800</v>
      </c>
      <c r="G600">
        <v>2360</v>
      </c>
      <c r="H600">
        <v>1905</v>
      </c>
    </row>
    <row r="601" spans="4:8">
      <c r="D601" s="15">
        <v>131935</v>
      </c>
      <c r="E601">
        <v>2370</v>
      </c>
      <c r="F601">
        <v>1800</v>
      </c>
      <c r="G601">
        <v>2360</v>
      </c>
      <c r="H601">
        <v>1905</v>
      </c>
    </row>
    <row r="602" spans="4:8">
      <c r="D602" s="15">
        <v>131940</v>
      </c>
      <c r="E602">
        <v>2365</v>
      </c>
      <c r="F602">
        <v>1800</v>
      </c>
      <c r="G602">
        <v>2350</v>
      </c>
      <c r="H602">
        <v>1910</v>
      </c>
    </row>
    <row r="603" spans="4:8">
      <c r="D603" s="15">
        <v>131945</v>
      </c>
      <c r="E603">
        <v>2365</v>
      </c>
      <c r="F603">
        <v>1800</v>
      </c>
      <c r="G603">
        <v>2350</v>
      </c>
      <c r="H603">
        <v>1910</v>
      </c>
    </row>
    <row r="604" spans="4:8">
      <c r="D604" s="15">
        <v>131950</v>
      </c>
      <c r="E604">
        <v>2365</v>
      </c>
      <c r="F604">
        <v>1800</v>
      </c>
      <c r="G604">
        <v>2350</v>
      </c>
      <c r="H604">
        <v>1905</v>
      </c>
    </row>
    <row r="605" spans="4:8">
      <c r="D605" s="15">
        <v>131955</v>
      </c>
      <c r="E605">
        <v>2365</v>
      </c>
      <c r="F605">
        <v>1800</v>
      </c>
      <c r="G605">
        <v>2350</v>
      </c>
      <c r="H605">
        <v>1905</v>
      </c>
    </row>
    <row r="606" spans="4:8">
      <c r="D606" s="15">
        <v>132000</v>
      </c>
      <c r="E606">
        <v>2365</v>
      </c>
      <c r="F606">
        <v>1800</v>
      </c>
      <c r="G606">
        <v>2350</v>
      </c>
      <c r="H606">
        <v>1910</v>
      </c>
    </row>
    <row r="607" spans="4:8">
      <c r="D607" s="15">
        <v>132005</v>
      </c>
      <c r="E607">
        <v>2360</v>
      </c>
      <c r="F607">
        <v>1800</v>
      </c>
      <c r="G607">
        <v>2350</v>
      </c>
      <c r="H607">
        <v>1910</v>
      </c>
    </row>
    <row r="608" spans="4:8">
      <c r="D608" s="15">
        <v>132010</v>
      </c>
      <c r="E608">
        <v>2360</v>
      </c>
      <c r="F608">
        <v>1800</v>
      </c>
      <c r="G608">
        <v>2350</v>
      </c>
      <c r="H608">
        <v>1910</v>
      </c>
    </row>
    <row r="609" spans="4:8">
      <c r="D609" s="15">
        <v>132015</v>
      </c>
      <c r="E609">
        <v>2360</v>
      </c>
      <c r="F609">
        <v>1800</v>
      </c>
      <c r="G609">
        <v>2350</v>
      </c>
      <c r="H609">
        <v>1910</v>
      </c>
    </row>
    <row r="610" spans="4:8">
      <c r="D610" s="15">
        <v>132020</v>
      </c>
      <c r="E610">
        <v>2360</v>
      </c>
      <c r="F610">
        <v>1800</v>
      </c>
      <c r="G610">
        <v>2350</v>
      </c>
      <c r="H610">
        <v>1905</v>
      </c>
    </row>
    <row r="611" spans="4:8">
      <c r="D611" s="15">
        <v>132025</v>
      </c>
      <c r="E611">
        <v>2360</v>
      </c>
      <c r="F611">
        <v>1800</v>
      </c>
      <c r="G611">
        <v>2350</v>
      </c>
      <c r="H611">
        <v>1910</v>
      </c>
    </row>
    <row r="612" spans="4:8">
      <c r="D612" s="15">
        <v>132030</v>
      </c>
      <c r="E612">
        <v>2360</v>
      </c>
      <c r="F612">
        <v>1800</v>
      </c>
      <c r="G612">
        <v>2350</v>
      </c>
      <c r="H612">
        <v>1910</v>
      </c>
    </row>
    <row r="613" spans="4:8">
      <c r="D613" s="15">
        <v>132035</v>
      </c>
      <c r="E613">
        <v>2360</v>
      </c>
      <c r="F613">
        <v>1800</v>
      </c>
      <c r="G613">
        <v>2350</v>
      </c>
      <c r="H613">
        <v>1905</v>
      </c>
    </row>
    <row r="614" spans="4:8">
      <c r="D614" s="15">
        <v>132040</v>
      </c>
      <c r="E614">
        <v>2365</v>
      </c>
      <c r="F614">
        <v>1800</v>
      </c>
      <c r="G614">
        <v>2350</v>
      </c>
      <c r="H614">
        <v>1905</v>
      </c>
    </row>
    <row r="615" spans="4:8">
      <c r="D615" s="15">
        <v>132045</v>
      </c>
      <c r="E615">
        <v>2365</v>
      </c>
      <c r="F615">
        <v>1800</v>
      </c>
      <c r="G615">
        <v>2350</v>
      </c>
      <c r="H615">
        <v>1905</v>
      </c>
    </row>
    <row r="616" spans="4:8">
      <c r="D616" s="15">
        <v>132050</v>
      </c>
      <c r="E616">
        <v>2365</v>
      </c>
      <c r="F616">
        <v>1800</v>
      </c>
      <c r="G616">
        <v>2350</v>
      </c>
      <c r="H616">
        <v>1905</v>
      </c>
    </row>
    <row r="617" spans="4:8">
      <c r="D617" s="15">
        <v>132055</v>
      </c>
      <c r="E617">
        <v>2365</v>
      </c>
      <c r="F617">
        <v>1800</v>
      </c>
      <c r="G617">
        <v>2350</v>
      </c>
      <c r="H617">
        <v>1910</v>
      </c>
    </row>
    <row r="618" spans="4:8">
      <c r="D618" s="15">
        <v>132100</v>
      </c>
      <c r="E618">
        <v>2360</v>
      </c>
      <c r="F618">
        <v>1800</v>
      </c>
      <c r="G618">
        <v>2350</v>
      </c>
      <c r="H618">
        <v>1910</v>
      </c>
    </row>
    <row r="619" spans="4:8">
      <c r="D619" s="15">
        <v>132105</v>
      </c>
      <c r="E619">
        <v>2360</v>
      </c>
      <c r="F619">
        <v>1800</v>
      </c>
      <c r="G619">
        <v>2350</v>
      </c>
      <c r="H619">
        <v>1910</v>
      </c>
    </row>
    <row r="620" spans="4:8">
      <c r="D620" s="15">
        <v>132110</v>
      </c>
      <c r="E620">
        <v>2360</v>
      </c>
      <c r="F620">
        <v>1800</v>
      </c>
      <c r="G620">
        <v>2350</v>
      </c>
      <c r="H620">
        <v>1905</v>
      </c>
    </row>
    <row r="621" spans="4:8">
      <c r="D621" s="15">
        <v>132115</v>
      </c>
      <c r="E621">
        <v>2365</v>
      </c>
      <c r="F621">
        <v>1800</v>
      </c>
      <c r="G621">
        <v>2350</v>
      </c>
      <c r="H621">
        <v>1910</v>
      </c>
    </row>
    <row r="622" spans="4:8">
      <c r="D622" s="15">
        <v>132120</v>
      </c>
      <c r="E622">
        <v>2365</v>
      </c>
      <c r="F622">
        <v>1800</v>
      </c>
      <c r="G622">
        <v>2350</v>
      </c>
      <c r="H622">
        <v>1910</v>
      </c>
    </row>
    <row r="623" spans="4:8">
      <c r="D623" s="15">
        <v>132125</v>
      </c>
      <c r="E623">
        <v>2365</v>
      </c>
      <c r="F623">
        <v>1800</v>
      </c>
      <c r="G623">
        <v>2350</v>
      </c>
      <c r="H623">
        <v>1910</v>
      </c>
    </row>
    <row r="624" spans="4:8">
      <c r="D624" s="15">
        <v>132130</v>
      </c>
      <c r="E624">
        <v>2365</v>
      </c>
      <c r="F624">
        <v>1800</v>
      </c>
      <c r="G624">
        <v>2345</v>
      </c>
      <c r="H624">
        <v>1905</v>
      </c>
    </row>
    <row r="625" spans="4:8">
      <c r="D625" s="15">
        <v>132135</v>
      </c>
      <c r="E625">
        <v>2365</v>
      </c>
      <c r="F625">
        <v>1800</v>
      </c>
      <c r="G625">
        <v>2345</v>
      </c>
      <c r="H625">
        <v>1905</v>
      </c>
    </row>
    <row r="626" spans="4:8">
      <c r="D626" s="15">
        <v>132140</v>
      </c>
      <c r="E626">
        <v>2365</v>
      </c>
      <c r="F626">
        <v>1800</v>
      </c>
      <c r="G626">
        <v>2345</v>
      </c>
      <c r="H626">
        <v>1905</v>
      </c>
    </row>
    <row r="627" spans="4:8">
      <c r="D627" s="15">
        <v>132145</v>
      </c>
      <c r="E627">
        <v>2365</v>
      </c>
      <c r="F627">
        <v>1800</v>
      </c>
      <c r="G627">
        <v>2345</v>
      </c>
      <c r="H627">
        <v>1905</v>
      </c>
    </row>
    <row r="628" spans="4:8">
      <c r="D628" s="15">
        <v>132150</v>
      </c>
      <c r="E628">
        <v>2365</v>
      </c>
      <c r="F628">
        <v>1800</v>
      </c>
      <c r="G628">
        <v>2345</v>
      </c>
      <c r="H628">
        <v>1905</v>
      </c>
    </row>
    <row r="629" spans="4:8">
      <c r="D629" s="15">
        <v>132155</v>
      </c>
      <c r="E629">
        <v>2365</v>
      </c>
      <c r="F629">
        <v>1800</v>
      </c>
      <c r="G629">
        <v>2345</v>
      </c>
      <c r="H629">
        <v>1910</v>
      </c>
    </row>
    <row r="630" spans="4:8">
      <c r="D630" s="15">
        <v>132200</v>
      </c>
      <c r="E630">
        <v>2365</v>
      </c>
      <c r="F630">
        <v>1800</v>
      </c>
      <c r="G630">
        <v>2345</v>
      </c>
      <c r="H630">
        <v>1910</v>
      </c>
    </row>
    <row r="631" spans="4:8">
      <c r="D631" s="15">
        <v>132205</v>
      </c>
      <c r="E631">
        <v>2365</v>
      </c>
      <c r="F631">
        <v>1800</v>
      </c>
      <c r="G631">
        <v>2345</v>
      </c>
      <c r="H631">
        <v>1910</v>
      </c>
    </row>
    <row r="632" spans="4:8">
      <c r="D632" s="15">
        <v>132210</v>
      </c>
      <c r="E632">
        <v>2365</v>
      </c>
      <c r="F632">
        <v>1800</v>
      </c>
      <c r="G632">
        <v>2350</v>
      </c>
      <c r="H632">
        <v>1900</v>
      </c>
    </row>
    <row r="633" spans="4:8">
      <c r="D633" s="15">
        <v>132215</v>
      </c>
      <c r="E633">
        <v>2365</v>
      </c>
      <c r="F633">
        <v>1800</v>
      </c>
      <c r="G633">
        <v>2350</v>
      </c>
      <c r="H633">
        <v>1900</v>
      </c>
    </row>
    <row r="634" spans="4:8">
      <c r="D634" s="15">
        <v>132220</v>
      </c>
      <c r="E634">
        <v>2365</v>
      </c>
      <c r="F634">
        <v>1800</v>
      </c>
      <c r="G634">
        <v>2345</v>
      </c>
      <c r="H634">
        <v>1905</v>
      </c>
    </row>
    <row r="635" spans="4:8">
      <c r="D635" s="15">
        <v>132225</v>
      </c>
      <c r="E635">
        <v>2365</v>
      </c>
      <c r="F635">
        <v>1795</v>
      </c>
      <c r="G635">
        <v>2345</v>
      </c>
      <c r="H635">
        <v>1900</v>
      </c>
    </row>
    <row r="636" spans="4:8">
      <c r="D636" s="15">
        <v>132230</v>
      </c>
      <c r="E636">
        <v>2365</v>
      </c>
      <c r="F636">
        <v>1795</v>
      </c>
      <c r="G636">
        <v>2345</v>
      </c>
      <c r="H636">
        <v>1900</v>
      </c>
    </row>
    <row r="637" spans="4:8">
      <c r="D637" s="15">
        <v>132235</v>
      </c>
      <c r="E637">
        <v>2365</v>
      </c>
      <c r="F637">
        <v>1795</v>
      </c>
      <c r="G637">
        <v>2345</v>
      </c>
      <c r="H637">
        <v>1905</v>
      </c>
    </row>
    <row r="638" spans="4:8">
      <c r="D638" s="15">
        <v>132240</v>
      </c>
      <c r="E638">
        <v>2365</v>
      </c>
      <c r="F638">
        <v>1795</v>
      </c>
      <c r="G638">
        <v>2345</v>
      </c>
      <c r="H638">
        <v>1900</v>
      </c>
    </row>
    <row r="639" spans="4:8">
      <c r="D639" s="15">
        <v>132245</v>
      </c>
      <c r="E639">
        <v>2365</v>
      </c>
      <c r="F639">
        <v>1795</v>
      </c>
      <c r="G639">
        <v>2345</v>
      </c>
      <c r="H639">
        <v>1900</v>
      </c>
    </row>
    <row r="640" spans="4:8">
      <c r="D640" s="15">
        <v>132250</v>
      </c>
      <c r="E640">
        <v>2370</v>
      </c>
      <c r="F640">
        <v>1795</v>
      </c>
      <c r="G640">
        <v>2345</v>
      </c>
      <c r="H640">
        <v>1905</v>
      </c>
    </row>
    <row r="641" spans="4:8">
      <c r="D641" s="15">
        <v>132255</v>
      </c>
      <c r="E641">
        <v>2370</v>
      </c>
      <c r="F641">
        <v>1795</v>
      </c>
      <c r="G641">
        <v>2345</v>
      </c>
      <c r="H641">
        <v>1900</v>
      </c>
    </row>
    <row r="642" spans="4:8">
      <c r="D642" s="15">
        <v>132300</v>
      </c>
      <c r="E642">
        <v>2370</v>
      </c>
      <c r="F642">
        <v>1800</v>
      </c>
      <c r="G642">
        <v>2345</v>
      </c>
      <c r="H642">
        <v>1905</v>
      </c>
    </row>
    <row r="643" spans="4:8">
      <c r="D643" s="15">
        <v>132305</v>
      </c>
      <c r="E643">
        <v>2370</v>
      </c>
      <c r="F643">
        <v>1795</v>
      </c>
      <c r="G643">
        <v>2340</v>
      </c>
      <c r="H643">
        <v>1905</v>
      </c>
    </row>
    <row r="644" spans="4:8">
      <c r="D644" s="15">
        <v>132310</v>
      </c>
      <c r="E644">
        <v>2370</v>
      </c>
      <c r="F644">
        <v>1795</v>
      </c>
      <c r="G644">
        <v>2340</v>
      </c>
      <c r="H644">
        <v>1900</v>
      </c>
    </row>
    <row r="645" spans="4:8">
      <c r="D645" s="15">
        <v>132315</v>
      </c>
      <c r="E645">
        <v>2370</v>
      </c>
      <c r="F645">
        <v>1800</v>
      </c>
      <c r="G645">
        <v>2340</v>
      </c>
      <c r="H645">
        <v>1900</v>
      </c>
    </row>
    <row r="646" spans="4:8">
      <c r="D646" s="15">
        <v>132320</v>
      </c>
      <c r="E646">
        <v>2370</v>
      </c>
      <c r="F646">
        <v>1795</v>
      </c>
      <c r="G646">
        <v>2340</v>
      </c>
      <c r="H646">
        <v>1900</v>
      </c>
    </row>
    <row r="647" spans="4:8">
      <c r="D647" s="15">
        <v>132325</v>
      </c>
      <c r="E647">
        <v>2365</v>
      </c>
      <c r="F647">
        <v>1795</v>
      </c>
      <c r="G647">
        <v>2345</v>
      </c>
      <c r="H647">
        <v>1905</v>
      </c>
    </row>
    <row r="648" spans="4:8">
      <c r="D648" s="15">
        <v>132330</v>
      </c>
      <c r="E648">
        <v>2365</v>
      </c>
      <c r="F648">
        <v>1795</v>
      </c>
      <c r="G648">
        <v>2335</v>
      </c>
      <c r="H648">
        <v>1900</v>
      </c>
    </row>
    <row r="649" spans="4:8">
      <c r="D649" s="15">
        <v>132335</v>
      </c>
      <c r="E649">
        <v>2365</v>
      </c>
      <c r="F649">
        <v>1795</v>
      </c>
      <c r="G649">
        <v>2335</v>
      </c>
      <c r="H649">
        <v>1900</v>
      </c>
    </row>
    <row r="650" spans="4:8">
      <c r="D650" s="15">
        <v>132340</v>
      </c>
      <c r="E650">
        <v>2365</v>
      </c>
      <c r="F650">
        <v>1795</v>
      </c>
      <c r="G650">
        <v>2335</v>
      </c>
      <c r="H650">
        <v>1900</v>
      </c>
    </row>
    <row r="651" spans="4:8">
      <c r="D651" s="15">
        <v>132345</v>
      </c>
      <c r="E651">
        <v>2365</v>
      </c>
      <c r="F651">
        <v>1795</v>
      </c>
      <c r="G651">
        <v>2335</v>
      </c>
      <c r="H651">
        <v>1900</v>
      </c>
    </row>
    <row r="652" spans="4:8">
      <c r="D652" s="15">
        <v>132350</v>
      </c>
      <c r="E652">
        <v>2365</v>
      </c>
      <c r="F652">
        <v>1795</v>
      </c>
      <c r="G652">
        <v>2335</v>
      </c>
      <c r="H652">
        <v>1900</v>
      </c>
    </row>
    <row r="653" spans="4:8">
      <c r="D653" s="15">
        <v>132355</v>
      </c>
      <c r="E653">
        <v>2365</v>
      </c>
      <c r="F653">
        <v>1795</v>
      </c>
      <c r="G653">
        <v>2335</v>
      </c>
      <c r="H653">
        <v>1905</v>
      </c>
    </row>
    <row r="654" spans="4:8">
      <c r="D654" s="15">
        <v>132400</v>
      </c>
      <c r="E654">
        <v>2360</v>
      </c>
      <c r="F654">
        <v>1800</v>
      </c>
      <c r="G654">
        <v>2335</v>
      </c>
      <c r="H654">
        <v>1900</v>
      </c>
    </row>
    <row r="655" spans="4:8">
      <c r="D655" s="15">
        <v>132405</v>
      </c>
      <c r="E655">
        <v>2360</v>
      </c>
      <c r="F655">
        <v>1800</v>
      </c>
      <c r="G655">
        <v>2345</v>
      </c>
      <c r="H655">
        <v>1900</v>
      </c>
    </row>
    <row r="656" spans="4:8">
      <c r="D656" s="15">
        <v>132410</v>
      </c>
      <c r="E656">
        <v>2360</v>
      </c>
      <c r="F656">
        <v>1795</v>
      </c>
      <c r="G656">
        <v>2350</v>
      </c>
      <c r="H656">
        <v>1905</v>
      </c>
    </row>
    <row r="657" spans="3:15">
      <c r="D657" s="15">
        <v>132415</v>
      </c>
      <c r="E657">
        <v>2370</v>
      </c>
      <c r="F657">
        <v>1795</v>
      </c>
      <c r="G657">
        <v>2345</v>
      </c>
      <c r="H657">
        <v>1900</v>
      </c>
    </row>
    <row r="658" spans="3:15">
      <c r="D658" s="15">
        <v>132420</v>
      </c>
      <c r="E658">
        <v>2365</v>
      </c>
      <c r="F658">
        <v>1795</v>
      </c>
      <c r="G658">
        <v>2345</v>
      </c>
      <c r="H658">
        <v>1900</v>
      </c>
    </row>
    <row r="659" spans="3:15">
      <c r="D659" s="15">
        <v>132425</v>
      </c>
      <c r="E659">
        <v>2365</v>
      </c>
      <c r="F659">
        <v>1795</v>
      </c>
      <c r="G659">
        <v>2345</v>
      </c>
      <c r="H659">
        <v>1900</v>
      </c>
    </row>
    <row r="660" spans="3:15">
      <c r="D660" s="15">
        <v>132430</v>
      </c>
      <c r="E660">
        <v>2370</v>
      </c>
      <c r="F660">
        <v>1795</v>
      </c>
      <c r="G660">
        <v>2350</v>
      </c>
      <c r="H660">
        <v>1905</v>
      </c>
    </row>
    <row r="661" spans="3:15">
      <c r="D661" s="15">
        <v>132435</v>
      </c>
      <c r="E661">
        <v>2370</v>
      </c>
      <c r="F661">
        <v>1795</v>
      </c>
      <c r="G661">
        <v>2345</v>
      </c>
      <c r="H661">
        <v>1900</v>
      </c>
    </row>
    <row r="662" spans="3:15">
      <c r="D662" s="15">
        <v>132440</v>
      </c>
      <c r="E662">
        <v>2370</v>
      </c>
      <c r="F662">
        <v>1795</v>
      </c>
      <c r="G662">
        <v>2345</v>
      </c>
      <c r="H662">
        <v>1905</v>
      </c>
    </row>
    <row r="663" spans="3:15">
      <c r="D663" s="15">
        <v>132445</v>
      </c>
      <c r="E663">
        <v>2365</v>
      </c>
      <c r="F663">
        <v>1795</v>
      </c>
      <c r="G663">
        <v>2355</v>
      </c>
      <c r="H663">
        <v>1900</v>
      </c>
    </row>
    <row r="664" spans="3:15">
      <c r="D664" s="15">
        <v>132450</v>
      </c>
      <c r="E664">
        <v>2365</v>
      </c>
      <c r="F664">
        <v>1800</v>
      </c>
      <c r="G664">
        <v>2355</v>
      </c>
      <c r="H664">
        <v>1905</v>
      </c>
    </row>
    <row r="665" spans="3:15">
      <c r="D665" s="15">
        <v>132455</v>
      </c>
      <c r="E665">
        <v>2365</v>
      </c>
      <c r="F665">
        <v>1795</v>
      </c>
      <c r="G665">
        <v>2355</v>
      </c>
      <c r="H665">
        <v>1900</v>
      </c>
    </row>
    <row r="666" spans="3:15">
      <c r="D666" s="15">
        <v>133100</v>
      </c>
      <c r="E666">
        <v>2370</v>
      </c>
    </row>
    <row r="668" spans="3:15">
      <c r="C668" t="s">
        <v>2704</v>
      </c>
      <c r="D668" s="15">
        <v>123000</v>
      </c>
      <c r="E668">
        <v>2395</v>
      </c>
      <c r="F668">
        <v>1815</v>
      </c>
      <c r="G668">
        <v>2370</v>
      </c>
      <c r="H668">
        <v>1920</v>
      </c>
      <c r="O668" s="15"/>
    </row>
    <row r="669" spans="3:15">
      <c r="D669" s="15">
        <v>123005</v>
      </c>
      <c r="E669">
        <v>2395</v>
      </c>
      <c r="F669">
        <v>1812.5</v>
      </c>
      <c r="G669">
        <v>2370</v>
      </c>
      <c r="H669">
        <v>1920</v>
      </c>
      <c r="O669" s="15"/>
    </row>
    <row r="670" spans="3:15">
      <c r="D670" s="15">
        <v>123010</v>
      </c>
      <c r="E670">
        <v>2395</v>
      </c>
      <c r="F670">
        <v>1813.3333333333333</v>
      </c>
      <c r="G670">
        <v>2370</v>
      </c>
      <c r="H670">
        <v>1920</v>
      </c>
      <c r="O670" s="15"/>
    </row>
    <row r="671" spans="3:15">
      <c r="D671" s="15">
        <v>123015</v>
      </c>
      <c r="E671">
        <v>2395</v>
      </c>
      <c r="F671">
        <v>1812.5</v>
      </c>
      <c r="G671">
        <v>2370</v>
      </c>
      <c r="H671">
        <v>1920</v>
      </c>
      <c r="O671" s="15"/>
    </row>
    <row r="672" spans="3:15">
      <c r="D672" s="15">
        <v>123020</v>
      </c>
      <c r="E672">
        <v>2395</v>
      </c>
      <c r="F672">
        <v>1812</v>
      </c>
      <c r="G672">
        <v>2370</v>
      </c>
      <c r="H672">
        <v>1920</v>
      </c>
      <c r="O672" s="15"/>
    </row>
    <row r="673" spans="4:15">
      <c r="D673" s="15">
        <v>123025</v>
      </c>
      <c r="E673">
        <v>2395</v>
      </c>
      <c r="F673">
        <v>1811.6666666666667</v>
      </c>
      <c r="G673">
        <v>2370</v>
      </c>
      <c r="H673">
        <v>1920</v>
      </c>
      <c r="O673" s="15"/>
    </row>
    <row r="674" spans="4:15">
      <c r="D674" s="15">
        <v>123030</v>
      </c>
      <c r="E674">
        <v>2395</v>
      </c>
      <c r="F674">
        <v>1811.4285714285713</v>
      </c>
      <c r="G674">
        <v>2370</v>
      </c>
      <c r="H674">
        <v>1919.2857142857142</v>
      </c>
      <c r="O674" s="15"/>
    </row>
    <row r="675" spans="4:15">
      <c r="D675" s="15">
        <v>123035</v>
      </c>
      <c r="E675">
        <v>2395</v>
      </c>
      <c r="F675">
        <v>1811.25</v>
      </c>
      <c r="G675">
        <v>2370</v>
      </c>
      <c r="H675">
        <v>1919.375</v>
      </c>
      <c r="O675" s="15"/>
    </row>
    <row r="676" spans="4:15">
      <c r="D676" s="15">
        <v>123040</v>
      </c>
      <c r="E676">
        <v>2394.4444444444443</v>
      </c>
      <c r="F676">
        <v>1811.1111111111111</v>
      </c>
      <c r="G676">
        <v>2370</v>
      </c>
      <c r="H676">
        <v>1919.4444444444443</v>
      </c>
      <c r="O676" s="15"/>
    </row>
    <row r="677" spans="4:15">
      <c r="D677" s="15">
        <v>123045</v>
      </c>
      <c r="E677">
        <v>2394</v>
      </c>
      <c r="F677">
        <v>1811</v>
      </c>
      <c r="G677">
        <v>2370</v>
      </c>
      <c r="H677">
        <v>1919.5</v>
      </c>
      <c r="O677" s="15"/>
    </row>
    <row r="678" spans="4:15">
      <c r="D678" s="15">
        <v>123050</v>
      </c>
      <c r="E678">
        <v>2393.6363636363635</v>
      </c>
      <c r="F678">
        <v>1811.3636363636363</v>
      </c>
      <c r="G678">
        <v>2370</v>
      </c>
      <c r="H678">
        <v>1919.5454545454545</v>
      </c>
      <c r="O678" s="15"/>
    </row>
    <row r="679" spans="4:15">
      <c r="D679" s="15">
        <v>123055</v>
      </c>
      <c r="E679">
        <v>2392.9166666666665</v>
      </c>
      <c r="F679">
        <v>1811.6666666666667</v>
      </c>
      <c r="G679">
        <v>2370</v>
      </c>
      <c r="H679">
        <v>1919.5833333333333</v>
      </c>
      <c r="O679" s="15"/>
    </row>
    <row r="680" spans="4:15">
      <c r="D680" s="15">
        <v>123100</v>
      </c>
      <c r="E680">
        <v>2392.3076923076924</v>
      </c>
      <c r="F680">
        <v>1811.9230769230769</v>
      </c>
      <c r="G680">
        <v>2370</v>
      </c>
      <c r="H680">
        <v>1919.6153846153845</v>
      </c>
      <c r="O680" s="15"/>
    </row>
    <row r="681" spans="4:15">
      <c r="D681" s="15">
        <v>123105</v>
      </c>
      <c r="E681">
        <v>2391.7857142857142</v>
      </c>
      <c r="F681">
        <v>1811.7857142857142</v>
      </c>
      <c r="G681">
        <v>2370</v>
      </c>
      <c r="H681">
        <v>1919.6428571428571</v>
      </c>
      <c r="O681" s="15"/>
    </row>
    <row r="682" spans="4:15">
      <c r="D682" s="15">
        <v>123110</v>
      </c>
      <c r="E682">
        <v>2391.3333333333335</v>
      </c>
      <c r="F682">
        <v>1811.6666666666667</v>
      </c>
      <c r="G682">
        <v>2370</v>
      </c>
      <c r="H682">
        <v>1919.6666666666667</v>
      </c>
      <c r="O682" s="15"/>
    </row>
    <row r="683" spans="4:15">
      <c r="D683" s="15">
        <v>123115</v>
      </c>
      <c r="E683">
        <v>2390.9375</v>
      </c>
      <c r="F683">
        <v>1811.5625</v>
      </c>
      <c r="G683">
        <v>2370</v>
      </c>
      <c r="H683">
        <v>1919.6875</v>
      </c>
      <c r="O683" s="15"/>
    </row>
    <row r="684" spans="4:15">
      <c r="D684" s="15">
        <v>123120</v>
      </c>
      <c r="E684">
        <v>2390.5882352941176</v>
      </c>
      <c r="F684">
        <v>1811.4705882352941</v>
      </c>
      <c r="G684">
        <v>2370</v>
      </c>
      <c r="H684">
        <v>1919.7058823529412</v>
      </c>
      <c r="O684" s="15"/>
    </row>
    <row r="685" spans="4:15">
      <c r="D685" s="15">
        <v>123125</v>
      </c>
      <c r="E685">
        <v>2390.5555555555557</v>
      </c>
      <c r="F685">
        <v>1811.3888888888889</v>
      </c>
      <c r="G685">
        <v>2370</v>
      </c>
      <c r="H685">
        <v>1919.7222222222222</v>
      </c>
      <c r="O685" s="15"/>
    </row>
    <row r="686" spans="4:15">
      <c r="D686" s="15">
        <v>123130</v>
      </c>
      <c r="E686">
        <v>2390.5263157894738</v>
      </c>
      <c r="F686">
        <v>1811.578947368421</v>
      </c>
      <c r="G686">
        <v>2370</v>
      </c>
      <c r="H686">
        <v>1919.7368421052631</v>
      </c>
      <c r="O686" s="15"/>
    </row>
    <row r="687" spans="4:15">
      <c r="D687" s="15">
        <v>123135</v>
      </c>
      <c r="E687">
        <v>2390.5</v>
      </c>
      <c r="F687">
        <v>1811.75</v>
      </c>
      <c r="G687">
        <v>2370</v>
      </c>
      <c r="H687">
        <v>1919.5</v>
      </c>
      <c r="O687" s="15"/>
    </row>
    <row r="688" spans="4:15">
      <c r="D688" s="15">
        <v>123140</v>
      </c>
      <c r="E688">
        <v>2390.4761904761904</v>
      </c>
      <c r="F688">
        <v>1811.6666666666667</v>
      </c>
      <c r="G688">
        <v>2370</v>
      </c>
      <c r="H688">
        <v>1919.5238095238096</v>
      </c>
      <c r="O688" s="15"/>
    </row>
    <row r="689" spans="4:15">
      <c r="D689" s="15">
        <v>123145</v>
      </c>
      <c r="E689">
        <v>2390.4545454545455</v>
      </c>
      <c r="F689">
        <v>1811.590909090909</v>
      </c>
      <c r="G689">
        <v>2370</v>
      </c>
      <c r="H689">
        <v>1919.5454545454545</v>
      </c>
      <c r="O689" s="15"/>
    </row>
    <row r="690" spans="4:15">
      <c r="D690" s="15">
        <v>123150</v>
      </c>
      <c r="E690">
        <v>2390.4347826086955</v>
      </c>
      <c r="F690">
        <v>1811.5217391304348</v>
      </c>
      <c r="G690">
        <v>2370</v>
      </c>
      <c r="H690">
        <v>1919.5652173913043</v>
      </c>
      <c r="O690" s="15"/>
    </row>
    <row r="691" spans="4:15">
      <c r="D691" s="15">
        <v>123155</v>
      </c>
      <c r="E691">
        <v>2390.4166666666665</v>
      </c>
      <c r="F691">
        <v>1811.6666666666667</v>
      </c>
      <c r="G691">
        <v>2370</v>
      </c>
      <c r="H691">
        <v>1919.5833333333333</v>
      </c>
      <c r="O691" s="15"/>
    </row>
    <row r="692" spans="4:15">
      <c r="D692" s="15">
        <v>123200</v>
      </c>
      <c r="E692">
        <v>2390.4</v>
      </c>
      <c r="F692">
        <v>1811.8</v>
      </c>
      <c r="G692">
        <v>2370</v>
      </c>
      <c r="H692">
        <v>1919.6</v>
      </c>
      <c r="O692" s="15"/>
    </row>
    <row r="693" spans="4:15">
      <c r="D693" s="15">
        <v>123205</v>
      </c>
      <c r="E693">
        <v>2390.3846153846152</v>
      </c>
      <c r="F693">
        <v>1811.7307692307693</v>
      </c>
      <c r="G693">
        <v>2369.8076923076924</v>
      </c>
      <c r="H693">
        <v>1919.6153846153845</v>
      </c>
      <c r="O693" s="15"/>
    </row>
    <row r="694" spans="4:15">
      <c r="D694" s="15">
        <v>123210</v>
      </c>
      <c r="E694">
        <v>2390.3703703703704</v>
      </c>
      <c r="F694">
        <v>1811.6666666666667</v>
      </c>
      <c r="G694">
        <v>2369.6296296296296</v>
      </c>
      <c r="H694">
        <v>1919.6296296296296</v>
      </c>
      <c r="O694" s="15"/>
    </row>
    <row r="695" spans="4:15">
      <c r="D695" s="15">
        <v>123215</v>
      </c>
      <c r="E695">
        <v>2390.3571428571427</v>
      </c>
      <c r="F695">
        <v>1811.6071428571429</v>
      </c>
      <c r="G695">
        <v>2369.4642857142858</v>
      </c>
      <c r="H695">
        <v>1919.6428571428571</v>
      </c>
      <c r="O695" s="15"/>
    </row>
    <row r="696" spans="4:15">
      <c r="D696" s="15">
        <v>123220</v>
      </c>
      <c r="E696">
        <v>2390.344827586207</v>
      </c>
      <c r="F696">
        <v>1811.5517241379309</v>
      </c>
      <c r="G696">
        <v>2369.3103448275861</v>
      </c>
      <c r="H696">
        <v>1919.655172413793</v>
      </c>
      <c r="O696" s="15"/>
    </row>
    <row r="697" spans="4:15">
      <c r="D697" s="15">
        <v>123225</v>
      </c>
      <c r="E697">
        <v>2390.3333333333335</v>
      </c>
      <c r="F697">
        <v>1811.5</v>
      </c>
      <c r="G697">
        <v>2369.1666666666665</v>
      </c>
      <c r="H697">
        <v>1919.5</v>
      </c>
      <c r="O697" s="15"/>
    </row>
    <row r="698" spans="4:15">
      <c r="D698" s="15">
        <v>123230</v>
      </c>
      <c r="E698">
        <v>2390.3225806451615</v>
      </c>
      <c r="F698">
        <v>1811.4516129032259</v>
      </c>
      <c r="G698">
        <v>2369.0322580645161</v>
      </c>
      <c r="H698">
        <v>1919.516129032258</v>
      </c>
      <c r="O698" s="15"/>
    </row>
    <row r="699" spans="4:15">
      <c r="D699" s="15">
        <v>123235</v>
      </c>
      <c r="E699">
        <v>2390.3125</v>
      </c>
      <c r="F699">
        <v>1811.40625</v>
      </c>
      <c r="G699">
        <v>2368.90625</v>
      </c>
      <c r="H699">
        <v>1919.375</v>
      </c>
      <c r="O699" s="15"/>
    </row>
    <row r="700" spans="4:15">
      <c r="D700" s="15">
        <v>123240</v>
      </c>
      <c r="E700">
        <v>2390.3030303030305</v>
      </c>
      <c r="F700">
        <v>1811.3636363636363</v>
      </c>
      <c r="G700">
        <v>2368.787878787879</v>
      </c>
      <c r="H700">
        <v>1919.3939393939395</v>
      </c>
      <c r="O700" s="15"/>
    </row>
    <row r="701" spans="4:15">
      <c r="D701" s="15">
        <v>123245</v>
      </c>
      <c r="E701">
        <v>2390.294117647059</v>
      </c>
      <c r="F701">
        <v>1811.3235294117646</v>
      </c>
      <c r="G701">
        <v>2368.6764705882351</v>
      </c>
      <c r="H701">
        <v>1919.2647058823529</v>
      </c>
      <c r="O701" s="15"/>
    </row>
    <row r="702" spans="4:15">
      <c r="D702" s="15">
        <v>123250</v>
      </c>
      <c r="E702">
        <v>2390.2857142857142</v>
      </c>
      <c r="F702">
        <v>1811.4285714285713</v>
      </c>
      <c r="G702">
        <v>2368.5714285714284</v>
      </c>
      <c r="H702">
        <v>1919.2857142857142</v>
      </c>
      <c r="O702" s="15"/>
    </row>
    <row r="703" spans="4:15">
      <c r="D703" s="15">
        <v>123255</v>
      </c>
      <c r="E703">
        <v>2390.2777777777778</v>
      </c>
      <c r="F703">
        <v>1811.5277777777778</v>
      </c>
      <c r="G703">
        <v>2368.4722222222222</v>
      </c>
      <c r="H703">
        <v>1919.1666666666667</v>
      </c>
      <c r="O703" s="15"/>
    </row>
    <row r="704" spans="4:15">
      <c r="D704" s="15">
        <v>123300</v>
      </c>
      <c r="E704">
        <v>2390.2702702702704</v>
      </c>
      <c r="F704">
        <v>1811.6216216216217</v>
      </c>
      <c r="G704">
        <v>2368.3783783783783</v>
      </c>
      <c r="H704">
        <v>1919.1891891891892</v>
      </c>
      <c r="O704" s="15"/>
    </row>
    <row r="705" spans="4:15">
      <c r="D705" s="15">
        <v>123305</v>
      </c>
      <c r="E705">
        <v>2390.2631578947367</v>
      </c>
      <c r="F705">
        <v>1811.7105263157894</v>
      </c>
      <c r="G705">
        <v>2368.2894736842104</v>
      </c>
      <c r="H705">
        <v>1919.2105263157894</v>
      </c>
      <c r="O705" s="15"/>
    </row>
    <row r="706" spans="4:15">
      <c r="D706" s="15">
        <v>123310</v>
      </c>
      <c r="E706">
        <v>2390.2564102564102</v>
      </c>
      <c r="F706">
        <v>1811.7948717948718</v>
      </c>
      <c r="G706">
        <v>2368.2051282051284</v>
      </c>
      <c r="H706">
        <v>1919.1025641025642</v>
      </c>
      <c r="O706" s="15"/>
    </row>
    <row r="707" spans="4:15">
      <c r="D707" s="15">
        <v>123315</v>
      </c>
      <c r="E707">
        <v>2390.25</v>
      </c>
      <c r="F707">
        <v>1811.75</v>
      </c>
      <c r="G707">
        <v>2368.125</v>
      </c>
      <c r="H707">
        <v>1919</v>
      </c>
      <c r="O707" s="15"/>
    </row>
    <row r="708" spans="4:15">
      <c r="D708" s="15">
        <v>123320</v>
      </c>
      <c r="E708">
        <v>2390.2439024390242</v>
      </c>
      <c r="F708">
        <v>1811.7073170731708</v>
      </c>
      <c r="G708">
        <v>2368.0487804878048</v>
      </c>
      <c r="H708">
        <v>1919.0243902439024</v>
      </c>
      <c r="O708" s="15"/>
    </row>
    <row r="709" spans="4:15">
      <c r="D709" s="15">
        <v>123325</v>
      </c>
      <c r="E709">
        <v>2390.2380952380954</v>
      </c>
      <c r="F709">
        <v>1811.6666666666667</v>
      </c>
      <c r="G709">
        <v>2367.9761904761904</v>
      </c>
      <c r="H709">
        <v>1919.047619047619</v>
      </c>
      <c r="O709" s="15"/>
    </row>
    <row r="710" spans="4:15">
      <c r="D710" s="15">
        <v>123330</v>
      </c>
      <c r="E710">
        <v>2390.2325581395348</v>
      </c>
      <c r="F710">
        <v>1811.6279069767443</v>
      </c>
      <c r="G710">
        <v>2367.9069767441861</v>
      </c>
      <c r="H710">
        <v>1919.0697674418604</v>
      </c>
      <c r="O710" s="15"/>
    </row>
    <row r="711" spans="4:15">
      <c r="D711" s="15">
        <v>123335</v>
      </c>
      <c r="E711">
        <v>2390.2272727272725</v>
      </c>
      <c r="F711">
        <v>1811.590909090909</v>
      </c>
      <c r="G711">
        <v>2367.840909090909</v>
      </c>
      <c r="H711">
        <v>1919.090909090909</v>
      </c>
      <c r="O711" s="15"/>
    </row>
    <row r="712" spans="4:15">
      <c r="D712" s="15">
        <v>123340</v>
      </c>
      <c r="E712">
        <v>2390.1111111111113</v>
      </c>
      <c r="F712">
        <v>1811.5555555555557</v>
      </c>
      <c r="G712">
        <v>2367.7777777777778</v>
      </c>
      <c r="H712">
        <v>1919.1111111111111</v>
      </c>
      <c r="O712" s="15"/>
    </row>
    <row r="713" spans="4:15">
      <c r="D713" s="15">
        <v>123345</v>
      </c>
      <c r="E713">
        <v>2390</v>
      </c>
      <c r="F713">
        <v>1811.5217391304348</v>
      </c>
      <c r="G713">
        <v>2367.717391304348</v>
      </c>
      <c r="H713">
        <v>1919.1304347826087</v>
      </c>
      <c r="O713" s="15"/>
    </row>
    <row r="714" spans="4:15">
      <c r="D714" s="15">
        <v>123350</v>
      </c>
      <c r="E714">
        <v>2390</v>
      </c>
      <c r="F714">
        <v>1811.4893617021276</v>
      </c>
      <c r="G714">
        <v>2367.6595744680849</v>
      </c>
      <c r="H714">
        <v>1919.1489361702127</v>
      </c>
      <c r="O714" s="15"/>
    </row>
    <row r="715" spans="4:15">
      <c r="D715" s="15">
        <v>123355</v>
      </c>
      <c r="E715">
        <v>2390</v>
      </c>
      <c r="F715">
        <v>1811.4583333333333</v>
      </c>
      <c r="G715">
        <v>2367.6041666666665</v>
      </c>
      <c r="H715">
        <v>1919.1666666666667</v>
      </c>
      <c r="O715" s="15"/>
    </row>
    <row r="716" spans="4:15">
      <c r="D716" s="15">
        <v>123400</v>
      </c>
      <c r="E716">
        <v>2390</v>
      </c>
      <c r="F716">
        <v>1811.5306122448981</v>
      </c>
      <c r="G716">
        <v>2367.5510204081634</v>
      </c>
      <c r="H716">
        <v>1919.1836734693877</v>
      </c>
      <c r="O716" s="15"/>
    </row>
    <row r="717" spans="4:15">
      <c r="D717" s="15">
        <v>123405</v>
      </c>
      <c r="E717">
        <v>2390</v>
      </c>
      <c r="F717">
        <v>1811.5</v>
      </c>
      <c r="G717">
        <v>2367.5</v>
      </c>
      <c r="H717">
        <v>1919.2</v>
      </c>
      <c r="O717" s="15"/>
    </row>
    <row r="718" spans="4:15">
      <c r="D718" s="15">
        <v>123410</v>
      </c>
      <c r="E718">
        <v>2390</v>
      </c>
      <c r="F718">
        <v>1811.4705882352941</v>
      </c>
      <c r="G718">
        <v>2367.4509803921569</v>
      </c>
      <c r="H718">
        <v>1919.2156862745098</v>
      </c>
      <c r="O718" s="15"/>
    </row>
    <row r="719" spans="4:15">
      <c r="D719" s="15">
        <v>123415</v>
      </c>
      <c r="E719">
        <v>2390</v>
      </c>
      <c r="F719">
        <v>1811.4423076923076</v>
      </c>
      <c r="G719">
        <v>2367.4038461538462</v>
      </c>
      <c r="H719">
        <v>1919.1346153846155</v>
      </c>
      <c r="O719" s="15"/>
    </row>
    <row r="720" spans="4:15">
      <c r="D720" s="15">
        <v>123420</v>
      </c>
      <c r="E720">
        <v>2390</v>
      </c>
      <c r="F720">
        <v>1811.5094339622642</v>
      </c>
      <c r="G720">
        <v>2367.4528301886794</v>
      </c>
      <c r="H720">
        <v>1919.1509433962265</v>
      </c>
      <c r="O720" s="15"/>
    </row>
    <row r="721" spans="4:15">
      <c r="D721" s="15">
        <v>123425</v>
      </c>
      <c r="E721">
        <v>2390</v>
      </c>
      <c r="F721">
        <v>1811.4814814814815</v>
      </c>
      <c r="G721">
        <v>2367.5</v>
      </c>
      <c r="H721">
        <v>1919.0740740740741</v>
      </c>
      <c r="O721" s="15"/>
    </row>
    <row r="722" spans="4:15">
      <c r="D722" s="15">
        <v>123430</v>
      </c>
      <c r="E722">
        <v>2390</v>
      </c>
      <c r="F722">
        <v>1811.4545454545455</v>
      </c>
      <c r="G722">
        <v>2367.5454545454545</v>
      </c>
      <c r="H722">
        <v>1919.090909090909</v>
      </c>
      <c r="O722" s="15"/>
    </row>
    <row r="723" spans="4:15">
      <c r="D723" s="15">
        <v>123435</v>
      </c>
      <c r="E723">
        <v>2390</v>
      </c>
      <c r="F723">
        <v>1811.4285714285713</v>
      </c>
      <c r="G723">
        <v>2367.5892857142858</v>
      </c>
      <c r="H723">
        <v>1919.0178571428571</v>
      </c>
      <c r="O723" s="15"/>
    </row>
    <row r="724" spans="4:15">
      <c r="D724" s="15">
        <v>123440</v>
      </c>
      <c r="E724">
        <v>2390</v>
      </c>
      <c r="F724">
        <v>1811.4035087719299</v>
      </c>
      <c r="G724">
        <v>2367.6315789473683</v>
      </c>
      <c r="H724">
        <v>1919.0350877192982</v>
      </c>
      <c r="O724" s="15"/>
    </row>
    <row r="725" spans="4:15">
      <c r="D725" s="15">
        <v>123445</v>
      </c>
      <c r="E725">
        <v>2389.9137931034484</v>
      </c>
      <c r="F725">
        <v>1811.3793103448277</v>
      </c>
      <c r="G725">
        <v>2367.6724137931033</v>
      </c>
      <c r="H725">
        <v>1919.0517241379309</v>
      </c>
      <c r="O725" s="15"/>
    </row>
    <row r="726" spans="4:15">
      <c r="D726" s="15">
        <v>123450</v>
      </c>
      <c r="E726">
        <v>2389.9152542372881</v>
      </c>
      <c r="F726">
        <v>1811.3559322033898</v>
      </c>
      <c r="G726">
        <v>2367.7118644067796</v>
      </c>
      <c r="H726">
        <v>1918.9830508474577</v>
      </c>
      <c r="O726" s="15"/>
    </row>
    <row r="727" spans="4:15">
      <c r="D727" s="15">
        <v>123455</v>
      </c>
      <c r="E727">
        <v>2389.9166666666665</v>
      </c>
      <c r="F727">
        <v>1811.3333333333333</v>
      </c>
      <c r="G727">
        <v>2367.75</v>
      </c>
      <c r="H727">
        <v>1918.9166666666667</v>
      </c>
      <c r="O727" s="15"/>
    </row>
    <row r="728" spans="4:15">
      <c r="D728" s="15">
        <v>123500</v>
      </c>
      <c r="E728">
        <v>2389.9180327868853</v>
      </c>
      <c r="F728">
        <v>1811.3934426229507</v>
      </c>
      <c r="G728">
        <v>2367.7868852459014</v>
      </c>
      <c r="H728">
        <v>1918.9344262295083</v>
      </c>
      <c r="O728" s="15"/>
    </row>
    <row r="729" spans="4:15">
      <c r="D729" s="15">
        <v>123505</v>
      </c>
      <c r="E729">
        <v>2389.9193548387098</v>
      </c>
      <c r="F729">
        <v>1811.3709677419354</v>
      </c>
      <c r="G729">
        <v>2367.8225806451615</v>
      </c>
      <c r="H729">
        <v>1918.8709677419354</v>
      </c>
      <c r="O729" s="15"/>
    </row>
    <row r="730" spans="4:15">
      <c r="D730" s="15">
        <v>123510</v>
      </c>
      <c r="E730">
        <v>2389.9206349206347</v>
      </c>
      <c r="F730">
        <v>1811.3492063492063</v>
      </c>
      <c r="G730">
        <v>2367.8571428571427</v>
      </c>
      <c r="H730">
        <v>1918.8888888888889</v>
      </c>
      <c r="O730" s="15"/>
    </row>
    <row r="731" spans="4:15">
      <c r="D731" s="15">
        <v>123515</v>
      </c>
      <c r="E731">
        <v>2389.921875</v>
      </c>
      <c r="F731">
        <v>1811.328125</v>
      </c>
      <c r="G731">
        <v>2367.890625</v>
      </c>
      <c r="H731">
        <v>1918.90625</v>
      </c>
      <c r="O731" s="15"/>
    </row>
    <row r="732" spans="4:15">
      <c r="D732" s="15">
        <v>123520</v>
      </c>
      <c r="E732">
        <v>2389.9230769230771</v>
      </c>
      <c r="F732">
        <v>1811.3846153846155</v>
      </c>
      <c r="G732">
        <v>2367.9230769230771</v>
      </c>
      <c r="H732">
        <v>1918.9230769230769</v>
      </c>
      <c r="O732" s="15"/>
    </row>
    <row r="733" spans="4:15">
      <c r="D733" s="15">
        <v>123525</v>
      </c>
      <c r="E733">
        <v>2389.9242424242425</v>
      </c>
      <c r="F733">
        <v>1811.3636363636363</v>
      </c>
      <c r="G733">
        <v>2367.9545454545455</v>
      </c>
      <c r="H733">
        <v>1918.939393939394</v>
      </c>
      <c r="O733" s="15"/>
    </row>
    <row r="734" spans="4:15">
      <c r="D734" s="15">
        <v>123530</v>
      </c>
      <c r="E734">
        <v>2389.9253731343283</v>
      </c>
      <c r="F734">
        <v>1811.3432835820895</v>
      </c>
      <c r="G734">
        <v>2367.9850746268658</v>
      </c>
      <c r="H734">
        <v>1918.955223880597</v>
      </c>
      <c r="O734" s="15"/>
    </row>
    <row r="735" spans="4:15">
      <c r="D735" s="15">
        <v>123535</v>
      </c>
      <c r="E735">
        <v>2389.9264705882351</v>
      </c>
      <c r="F735">
        <v>1811.3235294117646</v>
      </c>
      <c r="G735">
        <v>2368.0147058823532</v>
      </c>
      <c r="H735">
        <v>1918.8970588235295</v>
      </c>
      <c r="O735" s="15"/>
    </row>
    <row r="736" spans="4:15">
      <c r="D736" s="15">
        <v>123540</v>
      </c>
      <c r="E736">
        <v>2389.927536231884</v>
      </c>
      <c r="F736">
        <v>1811.304347826087</v>
      </c>
      <c r="G736">
        <v>2368.0434782608695</v>
      </c>
      <c r="H736">
        <v>1918.9130434782608</v>
      </c>
      <c r="O736" s="15"/>
    </row>
    <row r="737" spans="4:15">
      <c r="D737" s="15">
        <v>123545</v>
      </c>
      <c r="E737">
        <v>2389.7857142857142</v>
      </c>
      <c r="F737">
        <v>1811.2857142857142</v>
      </c>
      <c r="G737">
        <v>2368.0714285714284</v>
      </c>
      <c r="H737">
        <v>1918.9285714285713</v>
      </c>
      <c r="O737" s="15"/>
    </row>
    <row r="738" spans="4:15">
      <c r="D738" s="15">
        <v>123550</v>
      </c>
      <c r="E738">
        <v>2389.6478873239435</v>
      </c>
      <c r="F738">
        <v>1811.2676056338028</v>
      </c>
      <c r="G738">
        <v>2368.0985915492956</v>
      </c>
      <c r="H738">
        <v>1918.943661971831</v>
      </c>
      <c r="O738" s="15"/>
    </row>
    <row r="739" spans="4:15">
      <c r="D739" s="15">
        <v>123555</v>
      </c>
      <c r="E739">
        <v>2389.5138888888887</v>
      </c>
      <c r="F739">
        <v>1811.25</v>
      </c>
      <c r="G739">
        <v>2368.125</v>
      </c>
      <c r="H739">
        <v>1918.9583333333333</v>
      </c>
      <c r="O739" s="15"/>
    </row>
    <row r="740" spans="4:15">
      <c r="D740" s="15">
        <v>123600</v>
      </c>
      <c r="E740">
        <v>2389.4520547945203</v>
      </c>
      <c r="F740">
        <v>1811.3013698630136</v>
      </c>
      <c r="G740">
        <v>2368.1506849315069</v>
      </c>
      <c r="H740">
        <v>1918.972602739726</v>
      </c>
      <c r="O740" s="15"/>
    </row>
    <row r="741" spans="4:15">
      <c r="D741" s="15">
        <v>123605</v>
      </c>
      <c r="E741">
        <v>2389.3918918918921</v>
      </c>
      <c r="F741">
        <v>1811.2837837837837</v>
      </c>
      <c r="G741">
        <v>2368.1756756756758</v>
      </c>
      <c r="H741">
        <v>1918.918918918919</v>
      </c>
      <c r="O741" s="15"/>
    </row>
    <row r="742" spans="4:15">
      <c r="D742" s="15">
        <v>123610</v>
      </c>
      <c r="E742">
        <v>2389.3333333333335</v>
      </c>
      <c r="F742">
        <v>1811.2666666666667</v>
      </c>
      <c r="G742">
        <v>2368.1999999999998</v>
      </c>
      <c r="H742">
        <v>1918.9333333333334</v>
      </c>
      <c r="O742" s="15"/>
    </row>
    <row r="743" spans="4:15">
      <c r="D743" s="15">
        <v>123615</v>
      </c>
      <c r="E743">
        <v>2389.2763157894738</v>
      </c>
      <c r="F743">
        <v>1811.25</v>
      </c>
      <c r="G743">
        <v>2368.2236842105262</v>
      </c>
      <c r="H743">
        <v>1918.8815789473683</v>
      </c>
      <c r="O743" s="15"/>
    </row>
    <row r="744" spans="4:15">
      <c r="D744" s="15">
        <v>123620</v>
      </c>
      <c r="E744">
        <v>2389.2207792207791</v>
      </c>
      <c r="F744">
        <v>1811.2337662337663</v>
      </c>
      <c r="G744">
        <v>2368.2467532467531</v>
      </c>
      <c r="H744">
        <v>1918.8311688311687</v>
      </c>
      <c r="O744" s="15"/>
    </row>
    <row r="745" spans="4:15">
      <c r="D745" s="15">
        <v>123625</v>
      </c>
      <c r="E745">
        <v>2389.1666666666665</v>
      </c>
      <c r="F745">
        <v>1811.2179487179487</v>
      </c>
      <c r="G745">
        <v>2368.2692307692309</v>
      </c>
      <c r="H745">
        <v>1918.8461538461538</v>
      </c>
      <c r="O745" s="15"/>
    </row>
    <row r="746" spans="4:15">
      <c r="D746" s="15">
        <v>123630</v>
      </c>
      <c r="E746">
        <v>2389.1139240506327</v>
      </c>
      <c r="F746">
        <v>1811.2658227848101</v>
      </c>
      <c r="G746">
        <v>2368.2911392405063</v>
      </c>
      <c r="H746">
        <v>1918.7974683544303</v>
      </c>
      <c r="O746" s="15"/>
    </row>
    <row r="747" spans="4:15">
      <c r="D747" s="15">
        <v>123635</v>
      </c>
      <c r="E747">
        <v>2389.0625</v>
      </c>
      <c r="F747">
        <v>1811.3125</v>
      </c>
      <c r="G747">
        <v>2368.3125</v>
      </c>
      <c r="H747">
        <v>1918.8125</v>
      </c>
      <c r="O747" s="15"/>
    </row>
    <row r="748" spans="4:15">
      <c r="D748" s="15">
        <v>123640</v>
      </c>
      <c r="E748">
        <v>2389.0123456790125</v>
      </c>
      <c r="F748">
        <v>1811.358024691358</v>
      </c>
      <c r="G748">
        <v>2368.3333333333335</v>
      </c>
      <c r="H748">
        <v>1918.7654320987654</v>
      </c>
      <c r="O748" s="15"/>
    </row>
    <row r="749" spans="4:15">
      <c r="D749" s="15">
        <v>123645</v>
      </c>
      <c r="E749">
        <v>2388.9024390243903</v>
      </c>
      <c r="F749">
        <v>1811.3414634146341</v>
      </c>
      <c r="G749">
        <v>2368.3536585365855</v>
      </c>
      <c r="H749">
        <v>1918.719512195122</v>
      </c>
      <c r="O749" s="15"/>
    </row>
    <row r="750" spans="4:15">
      <c r="D750" s="15">
        <v>123650</v>
      </c>
      <c r="E750">
        <v>2388.7951807228915</v>
      </c>
      <c r="F750">
        <v>1811.3253012048192</v>
      </c>
      <c r="G750">
        <v>2368.3734939759038</v>
      </c>
      <c r="H750">
        <v>1918.7349397590363</v>
      </c>
      <c r="O750" s="15"/>
    </row>
    <row r="751" spans="4:15">
      <c r="D751" s="15">
        <v>123655</v>
      </c>
      <c r="E751">
        <v>2388.6904761904761</v>
      </c>
      <c r="F751">
        <v>1811.3095238095239</v>
      </c>
      <c r="G751">
        <v>2368.3928571428573</v>
      </c>
      <c r="H751">
        <v>1918.75</v>
      </c>
      <c r="O751" s="15"/>
    </row>
    <row r="752" spans="4:15">
      <c r="D752" s="15">
        <v>123700</v>
      </c>
      <c r="E752">
        <v>2388.5882352941176</v>
      </c>
      <c r="F752">
        <v>1811.2941176470588</v>
      </c>
      <c r="G752">
        <v>2368.4117647058824</v>
      </c>
      <c r="H752">
        <v>1918.7647058823529</v>
      </c>
      <c r="O752" s="15"/>
    </row>
    <row r="753" spans="4:15">
      <c r="D753" s="15">
        <v>123705</v>
      </c>
      <c r="E753">
        <v>2388.4883720930234</v>
      </c>
      <c r="F753">
        <v>1811.2790697674418</v>
      </c>
      <c r="G753">
        <v>2368.4302325581393</v>
      </c>
      <c r="H753">
        <v>1918.7790697674418</v>
      </c>
      <c r="O753" s="15"/>
    </row>
    <row r="754" spans="4:15">
      <c r="D754" s="15">
        <v>123710</v>
      </c>
      <c r="E754">
        <v>2388.3908045977009</v>
      </c>
      <c r="F754">
        <v>1811.2643678160919</v>
      </c>
      <c r="G754">
        <v>2368.4482758620688</v>
      </c>
      <c r="H754">
        <v>1918.7931034482758</v>
      </c>
      <c r="O754" s="15"/>
    </row>
    <row r="755" spans="4:15">
      <c r="D755" s="15">
        <v>123715</v>
      </c>
      <c r="E755">
        <v>2388.2954545454545</v>
      </c>
      <c r="F755">
        <v>1811.25</v>
      </c>
      <c r="G755">
        <v>2368.465909090909</v>
      </c>
      <c r="H755">
        <v>1918.75</v>
      </c>
      <c r="O755" s="15"/>
    </row>
    <row r="756" spans="4:15">
      <c r="D756" s="15">
        <v>123720</v>
      </c>
      <c r="E756">
        <v>2388.2022471910113</v>
      </c>
      <c r="F756">
        <v>1811.2921348314608</v>
      </c>
      <c r="G756">
        <v>2368.4831460674159</v>
      </c>
      <c r="H756">
        <v>1918.7640449438202</v>
      </c>
      <c r="O756" s="15"/>
    </row>
    <row r="757" spans="4:15">
      <c r="D757" s="15">
        <v>123725</v>
      </c>
      <c r="E757">
        <v>2388.1111111111113</v>
      </c>
      <c r="F757">
        <v>1811.2777777777778</v>
      </c>
      <c r="G757">
        <v>2368.5</v>
      </c>
      <c r="H757">
        <v>1918.7777777777778</v>
      </c>
      <c r="O757" s="15"/>
    </row>
    <row r="758" spans="4:15">
      <c r="D758" s="15">
        <v>123730</v>
      </c>
      <c r="E758">
        <v>2388.0219780219782</v>
      </c>
      <c r="F758">
        <v>1811.2637362637363</v>
      </c>
      <c r="G758">
        <v>2368.5164835164837</v>
      </c>
      <c r="H758">
        <v>1918.7912087912089</v>
      </c>
      <c r="O758" s="15"/>
    </row>
    <row r="759" spans="4:15">
      <c r="D759" s="15">
        <v>123735</v>
      </c>
      <c r="E759">
        <v>2387.9347826086955</v>
      </c>
      <c r="F759">
        <v>1811.25</v>
      </c>
      <c r="G759">
        <v>2368.532608695652</v>
      </c>
      <c r="H759">
        <v>1918.804347826087</v>
      </c>
      <c r="O759" s="15"/>
    </row>
    <row r="760" spans="4:15">
      <c r="D760" s="15">
        <v>123740</v>
      </c>
      <c r="E760">
        <v>2387.8494623655915</v>
      </c>
      <c r="F760">
        <v>1811.236559139785</v>
      </c>
      <c r="G760">
        <v>2368.5483870967741</v>
      </c>
      <c r="H760">
        <v>1918.8172043010752</v>
      </c>
      <c r="O760" s="15"/>
    </row>
    <row r="761" spans="4:15">
      <c r="D761" s="15">
        <v>123745</v>
      </c>
      <c r="E761">
        <v>2387.7659574468084</v>
      </c>
      <c r="F761">
        <v>1811.2234042553191</v>
      </c>
      <c r="G761">
        <v>2368.5638297872342</v>
      </c>
      <c r="H761">
        <v>1918.8297872340424</v>
      </c>
      <c r="O761" s="15"/>
    </row>
    <row r="762" spans="4:15">
      <c r="D762" s="15">
        <v>123750</v>
      </c>
      <c r="E762">
        <v>2387.6842105263158</v>
      </c>
      <c r="F762">
        <v>1811.2631578947369</v>
      </c>
      <c r="G762">
        <v>2368.5789473684213</v>
      </c>
      <c r="H762">
        <v>1918.8421052631579</v>
      </c>
      <c r="O762" s="15"/>
    </row>
    <row r="763" spans="4:15">
      <c r="D763" s="15">
        <v>123755</v>
      </c>
      <c r="E763">
        <v>2387.6041666666665</v>
      </c>
      <c r="F763">
        <v>1811.25</v>
      </c>
      <c r="G763">
        <v>2368.59375</v>
      </c>
      <c r="H763">
        <v>1918.8541666666667</v>
      </c>
      <c r="O763" s="15"/>
    </row>
    <row r="764" spans="4:15">
      <c r="D764" s="15">
        <v>123800</v>
      </c>
      <c r="E764">
        <v>2387.5257731958764</v>
      </c>
      <c r="F764">
        <v>1811.2886597938145</v>
      </c>
      <c r="G764">
        <v>2368.6082474226805</v>
      </c>
      <c r="H764">
        <v>1918.8659793814434</v>
      </c>
      <c r="O764" s="15"/>
    </row>
    <row r="765" spans="4:15">
      <c r="D765" s="15">
        <v>123805</v>
      </c>
      <c r="E765">
        <v>2387.4489795918366</v>
      </c>
      <c r="F765">
        <v>1811.2755102040817</v>
      </c>
      <c r="G765">
        <v>2368.6224489795918</v>
      </c>
      <c r="H765">
        <v>1918.8775510204082</v>
      </c>
      <c r="O765" s="15"/>
    </row>
    <row r="766" spans="4:15">
      <c r="D766" s="15">
        <v>123810</v>
      </c>
      <c r="E766">
        <v>2387.3737373737372</v>
      </c>
      <c r="F766">
        <v>1811.3131313131314</v>
      </c>
      <c r="G766">
        <v>2368.6363636363635</v>
      </c>
      <c r="H766">
        <v>1918.8888888888889</v>
      </c>
      <c r="O766" s="15"/>
    </row>
    <row r="767" spans="4:15">
      <c r="D767" s="15">
        <v>123815</v>
      </c>
      <c r="E767">
        <v>2387.3000000000002</v>
      </c>
      <c r="F767">
        <v>1811.3</v>
      </c>
      <c r="G767">
        <v>2368.65</v>
      </c>
      <c r="H767">
        <v>1918.9</v>
      </c>
      <c r="O767" s="15"/>
    </row>
    <row r="768" spans="4:15">
      <c r="D768" s="15">
        <v>123820</v>
      </c>
      <c r="E768">
        <v>2387.227722772277</v>
      </c>
      <c r="F768">
        <v>1811.2871287128712</v>
      </c>
      <c r="G768">
        <v>2368.6633663366338</v>
      </c>
      <c r="H768">
        <v>1918.9108910891089</v>
      </c>
      <c r="O768" s="15"/>
    </row>
    <row r="769" spans="4:15">
      <c r="D769" s="15">
        <v>123825</v>
      </c>
      <c r="E769">
        <v>2387.1078431372548</v>
      </c>
      <c r="F769">
        <v>1811.2745098039215</v>
      </c>
      <c r="G769">
        <v>2368.6764705882351</v>
      </c>
      <c r="H769">
        <v>1918.9215686274511</v>
      </c>
      <c r="O769" s="15"/>
    </row>
    <row r="770" spans="4:15">
      <c r="D770" s="15">
        <v>123830</v>
      </c>
      <c r="E770">
        <v>2387.0388349514565</v>
      </c>
      <c r="F770">
        <v>1811.2621359223301</v>
      </c>
      <c r="G770">
        <v>2368.6893203883496</v>
      </c>
      <c r="H770">
        <v>1918.8834951456311</v>
      </c>
      <c r="O770" s="15"/>
    </row>
    <row r="771" spans="4:15">
      <c r="D771" s="15">
        <v>123835</v>
      </c>
      <c r="E771">
        <v>2386.9711538461538</v>
      </c>
      <c r="F771">
        <v>1811.25</v>
      </c>
      <c r="G771">
        <v>2368.7019230769229</v>
      </c>
      <c r="H771">
        <v>1918.8942307692307</v>
      </c>
      <c r="O771" s="15"/>
    </row>
    <row r="772" spans="4:15">
      <c r="D772" s="15">
        <v>123840</v>
      </c>
      <c r="E772">
        <v>2386.9047619047619</v>
      </c>
      <c r="F772">
        <v>1811.1904761904761</v>
      </c>
      <c r="G772">
        <v>2368.7142857142858</v>
      </c>
      <c r="H772">
        <v>1918.9047619047619</v>
      </c>
      <c r="O772" s="15"/>
    </row>
    <row r="773" spans="4:15">
      <c r="D773" s="15">
        <v>123845</v>
      </c>
      <c r="E773">
        <v>2386.8396226415093</v>
      </c>
      <c r="F773">
        <v>1811.132075471698</v>
      </c>
      <c r="G773">
        <v>2368.7264150943397</v>
      </c>
      <c r="H773">
        <v>1918.9150943396226</v>
      </c>
      <c r="O773" s="15"/>
    </row>
    <row r="774" spans="4:15">
      <c r="D774" s="15">
        <v>123850</v>
      </c>
      <c r="E774">
        <v>2386.7757009345796</v>
      </c>
      <c r="F774">
        <v>1811.0747663551401</v>
      </c>
      <c r="G774">
        <v>2368.7383177570096</v>
      </c>
      <c r="H774">
        <v>1918.8785046728972</v>
      </c>
      <c r="O774" s="15"/>
    </row>
    <row r="775" spans="4:15">
      <c r="D775" s="15">
        <v>123855</v>
      </c>
      <c r="E775">
        <v>2386.712962962963</v>
      </c>
      <c r="F775">
        <v>1811.0185185185185</v>
      </c>
      <c r="G775">
        <v>2368.75</v>
      </c>
      <c r="H775">
        <v>1918.8888888888889</v>
      </c>
      <c r="O775" s="15"/>
    </row>
    <row r="776" spans="4:15">
      <c r="D776" s="15">
        <v>123900</v>
      </c>
      <c r="E776">
        <v>2386.6513761467891</v>
      </c>
      <c r="F776">
        <v>1810.9633027522937</v>
      </c>
      <c r="G776">
        <v>2368.7614678899081</v>
      </c>
      <c r="H776">
        <v>1918.8990825688074</v>
      </c>
      <c r="O776" s="15"/>
    </row>
    <row r="777" spans="4:15">
      <c r="D777" s="15">
        <v>123905</v>
      </c>
      <c r="E777">
        <v>2386.590909090909</v>
      </c>
      <c r="F777">
        <v>1810.909090909091</v>
      </c>
      <c r="G777">
        <v>2368.7727272727275</v>
      </c>
      <c r="H777">
        <v>1918.909090909091</v>
      </c>
      <c r="O777" s="15"/>
    </row>
    <row r="778" spans="4:15">
      <c r="D778" s="15">
        <v>123910</v>
      </c>
      <c r="E778">
        <v>2386.5315315315315</v>
      </c>
      <c r="F778">
        <v>1810.900900900901</v>
      </c>
      <c r="G778">
        <v>2368.7837837837837</v>
      </c>
      <c r="H778">
        <v>1918.8738738738739</v>
      </c>
      <c r="O778" s="15"/>
    </row>
    <row r="779" spans="4:15">
      <c r="D779" s="15">
        <v>123915</v>
      </c>
      <c r="E779">
        <v>2386.4732142857142</v>
      </c>
      <c r="F779">
        <v>1810.8928571428571</v>
      </c>
      <c r="G779">
        <v>2368.7946428571427</v>
      </c>
      <c r="H779">
        <v>1918.8839285714287</v>
      </c>
      <c r="O779" s="15"/>
    </row>
    <row r="780" spans="4:15">
      <c r="D780" s="15">
        <v>123920</v>
      </c>
      <c r="E780">
        <v>2386.4159292035397</v>
      </c>
      <c r="F780">
        <v>1810.8407079646017</v>
      </c>
      <c r="G780">
        <v>2368.8053097345132</v>
      </c>
      <c r="H780">
        <v>1918.8938053097345</v>
      </c>
      <c r="O780" s="15"/>
    </row>
    <row r="781" spans="4:15">
      <c r="D781" s="15">
        <v>123925</v>
      </c>
      <c r="E781">
        <v>2386.3596491228072</v>
      </c>
      <c r="F781">
        <v>1810.7894736842106</v>
      </c>
      <c r="G781">
        <v>2368.8157894736842</v>
      </c>
      <c r="H781">
        <v>1918.859649122807</v>
      </c>
      <c r="O781" s="15"/>
    </row>
    <row r="782" spans="4:15">
      <c r="D782" s="15">
        <v>123930</v>
      </c>
      <c r="E782">
        <v>2386.304347826087</v>
      </c>
      <c r="F782">
        <v>1810.7391304347825</v>
      </c>
      <c r="G782">
        <v>2368.782608695652</v>
      </c>
      <c r="H782">
        <v>1918.8695652173913</v>
      </c>
      <c r="O782" s="15"/>
    </row>
    <row r="783" spans="4:15">
      <c r="D783" s="15">
        <v>123935</v>
      </c>
      <c r="E783">
        <v>2386.25</v>
      </c>
      <c r="F783">
        <v>1810.6896551724137</v>
      </c>
      <c r="G783">
        <v>2368.75</v>
      </c>
      <c r="H783">
        <v>1918.8793103448277</v>
      </c>
      <c r="O783" s="15"/>
    </row>
    <row r="784" spans="4:15">
      <c r="D784" s="15">
        <v>123940</v>
      </c>
      <c r="E784">
        <v>2386.1965811965811</v>
      </c>
      <c r="F784">
        <v>1810.6837606837607</v>
      </c>
      <c r="G784">
        <v>2368.7179487179487</v>
      </c>
      <c r="H784">
        <v>1918.8888888888889</v>
      </c>
      <c r="O784" s="15"/>
    </row>
    <row r="785" spans="4:15">
      <c r="D785" s="15">
        <v>123945</v>
      </c>
      <c r="E785">
        <v>2386.1440677966102</v>
      </c>
      <c r="F785">
        <v>1810.6355932203389</v>
      </c>
      <c r="G785">
        <v>2368.6864406779659</v>
      </c>
      <c r="H785">
        <v>1918.8559322033898</v>
      </c>
      <c r="O785" s="15"/>
    </row>
    <row r="786" spans="4:15">
      <c r="D786" s="15">
        <v>123950</v>
      </c>
      <c r="E786">
        <v>2386.09243697479</v>
      </c>
      <c r="F786">
        <v>1810.6302521008404</v>
      </c>
      <c r="G786">
        <v>2368.6554621848741</v>
      </c>
      <c r="H786">
        <v>1918.8235294117646</v>
      </c>
      <c r="O786" s="15"/>
    </row>
    <row r="787" spans="4:15">
      <c r="D787" s="15">
        <v>123955</v>
      </c>
      <c r="E787">
        <v>2386</v>
      </c>
      <c r="F787">
        <v>1810.625</v>
      </c>
      <c r="G787">
        <v>2368.625</v>
      </c>
      <c r="H787">
        <v>1918.7916666666667</v>
      </c>
      <c r="O787" s="15"/>
    </row>
    <row r="788" spans="4:15">
      <c r="D788" s="15">
        <v>124000</v>
      </c>
      <c r="E788">
        <v>2385.9504132231405</v>
      </c>
      <c r="F788">
        <v>1810.6198347107438</v>
      </c>
      <c r="G788">
        <v>2368.595041322314</v>
      </c>
      <c r="H788">
        <v>1918.8016528925621</v>
      </c>
      <c r="O788" s="15"/>
    </row>
    <row r="789" spans="4:15">
      <c r="D789" s="15">
        <v>124005</v>
      </c>
      <c r="E789">
        <v>2385.9016393442621</v>
      </c>
      <c r="F789">
        <v>1810.5737704918033</v>
      </c>
      <c r="G789">
        <v>2368.5655737704919</v>
      </c>
      <c r="H789">
        <v>1918.811475409836</v>
      </c>
      <c r="O789" s="15"/>
    </row>
    <row r="790" spans="4:15">
      <c r="D790" s="15">
        <v>124010</v>
      </c>
      <c r="E790">
        <v>2385.8536585365855</v>
      </c>
      <c r="F790">
        <v>1810.5691056910568</v>
      </c>
      <c r="G790">
        <v>2368.5365853658536</v>
      </c>
      <c r="H790">
        <v>1918.821138211382</v>
      </c>
      <c r="O790" s="15"/>
    </row>
    <row r="791" spans="4:15">
      <c r="D791" s="15">
        <v>124015</v>
      </c>
      <c r="E791">
        <v>2385.8064516129034</v>
      </c>
      <c r="F791">
        <v>1810.5241935483871</v>
      </c>
      <c r="G791">
        <v>2368.5080645161293</v>
      </c>
      <c r="H791">
        <v>1918.8306451612902</v>
      </c>
      <c r="O791" s="15"/>
    </row>
    <row r="792" spans="4:15">
      <c r="D792" s="15">
        <v>124020</v>
      </c>
      <c r="E792">
        <v>2385.7600000000002</v>
      </c>
      <c r="F792">
        <v>1810.48</v>
      </c>
      <c r="G792">
        <v>2368.48</v>
      </c>
      <c r="H792">
        <v>1918.84</v>
      </c>
      <c r="O792" s="15"/>
    </row>
    <row r="793" spans="4:15">
      <c r="D793" s="15">
        <v>124025</v>
      </c>
      <c r="E793">
        <v>2385.7142857142858</v>
      </c>
      <c r="F793">
        <v>1810.436507936508</v>
      </c>
      <c r="G793">
        <v>2368.4523809523807</v>
      </c>
      <c r="H793">
        <v>1918.8095238095239</v>
      </c>
      <c r="O793" s="15"/>
    </row>
    <row r="794" spans="4:15">
      <c r="D794" s="15">
        <v>124030</v>
      </c>
      <c r="E794">
        <v>2385.6692913385828</v>
      </c>
      <c r="F794">
        <v>1810.4330708661416</v>
      </c>
      <c r="G794">
        <v>2368.4251968503936</v>
      </c>
      <c r="H794">
        <v>1918.8188976377953</v>
      </c>
      <c r="O794" s="15"/>
    </row>
    <row r="795" spans="4:15">
      <c r="D795" s="15">
        <v>124035</v>
      </c>
      <c r="E795">
        <v>2385.625</v>
      </c>
      <c r="F795">
        <v>1810.4296875</v>
      </c>
      <c r="G795">
        <v>2368.3984375</v>
      </c>
      <c r="H795">
        <v>1918.828125</v>
      </c>
      <c r="O795" s="15"/>
    </row>
    <row r="796" spans="4:15">
      <c r="D796" s="15">
        <v>124040</v>
      </c>
      <c r="E796">
        <v>2385.5813953488373</v>
      </c>
      <c r="F796">
        <v>1810.4263565891472</v>
      </c>
      <c r="G796">
        <v>2368.3720930232557</v>
      </c>
      <c r="H796">
        <v>1918.8372093023256</v>
      </c>
      <c r="O796" s="15"/>
    </row>
    <row r="797" spans="4:15">
      <c r="D797" s="15">
        <v>124045</v>
      </c>
      <c r="E797">
        <v>2385.5384615384614</v>
      </c>
      <c r="F797">
        <v>1810.3846153846155</v>
      </c>
      <c r="G797">
        <v>2368.3461538461538</v>
      </c>
      <c r="H797">
        <v>1918.8461538461538</v>
      </c>
      <c r="O797" s="15"/>
    </row>
    <row r="798" spans="4:15">
      <c r="D798" s="15">
        <v>124050</v>
      </c>
      <c r="E798">
        <v>2385.4961832061067</v>
      </c>
      <c r="F798">
        <v>1810.3435114503816</v>
      </c>
      <c r="G798">
        <v>2368.320610687023</v>
      </c>
      <c r="H798">
        <v>1918.8167938931297</v>
      </c>
      <c r="O798" s="15"/>
    </row>
    <row r="799" spans="4:15">
      <c r="D799" s="15">
        <v>124055</v>
      </c>
      <c r="E799">
        <v>2385.4166666666665</v>
      </c>
      <c r="F799">
        <v>1810.3030303030303</v>
      </c>
      <c r="G799">
        <v>2368.2954545454545</v>
      </c>
      <c r="H799">
        <v>1918.7878787878788</v>
      </c>
      <c r="O799" s="15"/>
    </row>
    <row r="800" spans="4:15">
      <c r="D800" s="15">
        <v>124100</v>
      </c>
      <c r="E800">
        <v>2385.3383458646617</v>
      </c>
      <c r="F800">
        <v>1810.2631578947369</v>
      </c>
      <c r="G800">
        <v>2368.2706766917295</v>
      </c>
      <c r="H800">
        <v>1918.796992481203</v>
      </c>
      <c r="O800" s="15"/>
    </row>
    <row r="801" spans="4:15">
      <c r="D801" s="15">
        <v>124105</v>
      </c>
      <c r="E801">
        <v>2385.2611940298507</v>
      </c>
      <c r="F801">
        <v>1810.2238805970148</v>
      </c>
      <c r="G801">
        <v>2368.2462686567164</v>
      </c>
      <c r="H801">
        <v>1918.7686567164178</v>
      </c>
      <c r="O801" s="15"/>
    </row>
    <row r="802" spans="4:15">
      <c r="D802" s="15">
        <v>124110</v>
      </c>
      <c r="E802">
        <v>2385.1851851851852</v>
      </c>
      <c r="F802">
        <v>1810.1851851851852</v>
      </c>
      <c r="G802">
        <v>2368.2222222222222</v>
      </c>
      <c r="H802">
        <v>1918.7777777777778</v>
      </c>
      <c r="O802" s="15"/>
    </row>
    <row r="803" spans="4:15">
      <c r="D803" s="15">
        <v>124115</v>
      </c>
      <c r="E803">
        <v>2385.1102941176468</v>
      </c>
      <c r="F803">
        <v>1810.1838235294117</v>
      </c>
      <c r="G803">
        <v>2368.1985294117649</v>
      </c>
      <c r="H803">
        <v>1918.7867647058824</v>
      </c>
      <c r="O803" s="15"/>
    </row>
    <row r="804" spans="4:15">
      <c r="D804" s="15">
        <v>124120</v>
      </c>
      <c r="E804">
        <v>2385.0364963503648</v>
      </c>
      <c r="F804">
        <v>1810.1459854014599</v>
      </c>
      <c r="G804">
        <v>2368.175182481752</v>
      </c>
      <c r="H804">
        <v>1918.7591240875913</v>
      </c>
      <c r="O804" s="15"/>
    </row>
    <row r="805" spans="4:15">
      <c r="D805" s="15">
        <v>124125</v>
      </c>
      <c r="E805">
        <v>2384.963768115942</v>
      </c>
      <c r="F805">
        <v>1810.108695652174</v>
      </c>
      <c r="G805">
        <v>2368.1521739130435</v>
      </c>
      <c r="H805">
        <v>1918.731884057971</v>
      </c>
      <c r="O805" s="15"/>
    </row>
    <row r="806" spans="4:15">
      <c r="D806" s="15">
        <v>124130</v>
      </c>
      <c r="E806">
        <v>2384.8920863309354</v>
      </c>
      <c r="F806">
        <v>1810.1079136690648</v>
      </c>
      <c r="G806">
        <v>2368.1294964028775</v>
      </c>
      <c r="H806">
        <v>1918.7410071942445</v>
      </c>
      <c r="O806" s="15"/>
    </row>
    <row r="807" spans="4:15">
      <c r="D807" s="15">
        <v>124135</v>
      </c>
      <c r="E807">
        <v>2384.8214285714284</v>
      </c>
      <c r="F807">
        <v>1810.1071428571429</v>
      </c>
      <c r="G807">
        <v>2368.1071428571427</v>
      </c>
      <c r="H807">
        <v>1918.75</v>
      </c>
      <c r="O807" s="15"/>
    </row>
    <row r="808" spans="4:15">
      <c r="D808" s="15">
        <v>124140</v>
      </c>
      <c r="E808">
        <v>2384.7517730496452</v>
      </c>
      <c r="F808">
        <v>1810.1063829787233</v>
      </c>
      <c r="G808">
        <v>2368.0851063829787</v>
      </c>
      <c r="H808">
        <v>1918.758865248227</v>
      </c>
      <c r="O808" s="15"/>
    </row>
    <row r="809" spans="4:15">
      <c r="D809" s="15">
        <v>124145</v>
      </c>
      <c r="E809">
        <v>2384.6830985915494</v>
      </c>
      <c r="F809">
        <v>1810.0704225352113</v>
      </c>
      <c r="G809">
        <v>2368.0633802816901</v>
      </c>
      <c r="H809">
        <v>1918.7676056338028</v>
      </c>
      <c r="O809" s="15"/>
    </row>
    <row r="810" spans="4:15">
      <c r="D810" s="15">
        <v>124150</v>
      </c>
      <c r="E810">
        <v>2384.6153846153848</v>
      </c>
      <c r="F810">
        <v>1810.0349650349651</v>
      </c>
      <c r="G810">
        <v>2368.041958041958</v>
      </c>
      <c r="H810">
        <v>1918.7762237762238</v>
      </c>
      <c r="O810" s="15"/>
    </row>
    <row r="811" spans="4:15">
      <c r="D811" s="15">
        <v>124155</v>
      </c>
      <c r="E811">
        <v>2384.5486111111113</v>
      </c>
      <c r="F811">
        <v>1810.0347222222222</v>
      </c>
      <c r="G811">
        <v>2368.0208333333335</v>
      </c>
      <c r="H811">
        <v>1918.7847222222222</v>
      </c>
      <c r="O811" s="15"/>
    </row>
    <row r="812" spans="4:15">
      <c r="D812" s="15">
        <v>124200</v>
      </c>
      <c r="E812">
        <v>2384.4827586206898</v>
      </c>
      <c r="F812">
        <v>1810.0344827586207</v>
      </c>
      <c r="G812">
        <v>2368</v>
      </c>
      <c r="H812">
        <v>1918.7931034482758</v>
      </c>
      <c r="O812" s="15"/>
    </row>
    <row r="813" spans="4:15">
      <c r="D813" s="15">
        <v>124205</v>
      </c>
      <c r="E813">
        <v>2384.4520547945203</v>
      </c>
      <c r="F813">
        <v>1810</v>
      </c>
      <c r="G813">
        <v>2367.9794520547944</v>
      </c>
      <c r="H813">
        <v>1918.8013698630136</v>
      </c>
      <c r="O813" s="15"/>
    </row>
    <row r="814" spans="4:15">
      <c r="D814" s="15">
        <v>124210</v>
      </c>
      <c r="E814">
        <v>2384.4217687074829</v>
      </c>
      <c r="F814">
        <v>1809.9659863945578</v>
      </c>
      <c r="G814">
        <v>2367.9591836734694</v>
      </c>
      <c r="H814">
        <v>1918.8095238095239</v>
      </c>
      <c r="O814" s="15"/>
    </row>
    <row r="815" spans="4:15">
      <c r="D815" s="15">
        <v>124215</v>
      </c>
      <c r="E815">
        <v>2384.3918918918921</v>
      </c>
      <c r="F815">
        <v>1809.9324324324325</v>
      </c>
      <c r="G815">
        <v>2367.9391891891892</v>
      </c>
      <c r="H815">
        <v>1918.8175675675675</v>
      </c>
      <c r="O815" s="15"/>
    </row>
    <row r="816" spans="4:15">
      <c r="D816" s="15">
        <v>124220</v>
      </c>
      <c r="E816">
        <v>2384.3624161073826</v>
      </c>
      <c r="F816">
        <v>1809.9328859060402</v>
      </c>
      <c r="G816">
        <v>2367.9194630872485</v>
      </c>
      <c r="H816">
        <v>1918.7919463087248</v>
      </c>
      <c r="O816" s="15"/>
    </row>
    <row r="817" spans="4:15">
      <c r="D817" s="15">
        <v>124225</v>
      </c>
      <c r="E817">
        <v>2384.3333333333335</v>
      </c>
      <c r="F817">
        <v>1809.9</v>
      </c>
      <c r="G817">
        <v>2367.9</v>
      </c>
      <c r="H817">
        <v>1918.8</v>
      </c>
      <c r="O817" s="15"/>
    </row>
    <row r="818" spans="4:15">
      <c r="D818" s="15">
        <v>124230</v>
      </c>
      <c r="E818">
        <v>2384.3046357615895</v>
      </c>
      <c r="F818">
        <v>1809.9006622516556</v>
      </c>
      <c r="G818">
        <v>2367.8807947019868</v>
      </c>
      <c r="H818">
        <v>1918.7748344370862</v>
      </c>
      <c r="O818" s="15"/>
    </row>
    <row r="819" spans="4:15">
      <c r="D819" s="15">
        <v>124235</v>
      </c>
      <c r="E819">
        <v>2384.2763157894738</v>
      </c>
      <c r="F819">
        <v>1809.9013157894738</v>
      </c>
      <c r="G819">
        <v>2367.8618421052633</v>
      </c>
      <c r="H819">
        <v>1918.7828947368421</v>
      </c>
      <c r="O819" s="15"/>
    </row>
    <row r="820" spans="4:15">
      <c r="D820" s="15">
        <v>124240</v>
      </c>
      <c r="E820">
        <v>2384.248366013072</v>
      </c>
      <c r="F820">
        <v>1809.8692810457517</v>
      </c>
      <c r="G820">
        <v>2367.8431372549021</v>
      </c>
      <c r="H820">
        <v>1918.7908496732025</v>
      </c>
      <c r="O820" s="15"/>
    </row>
    <row r="821" spans="4:15">
      <c r="D821" s="15">
        <v>124245</v>
      </c>
      <c r="E821">
        <v>2384.2207792207791</v>
      </c>
      <c r="F821">
        <v>1809.8376623376623</v>
      </c>
      <c r="G821">
        <v>2367.8246753246754</v>
      </c>
      <c r="H821">
        <v>1918.7987012987012</v>
      </c>
      <c r="O821" s="15"/>
    </row>
    <row r="822" spans="4:15">
      <c r="D822" s="15">
        <v>124250</v>
      </c>
      <c r="E822">
        <v>2384.1935483870966</v>
      </c>
      <c r="F822">
        <v>1809.8064516129032</v>
      </c>
      <c r="G822">
        <v>2367.8064516129034</v>
      </c>
      <c r="H822">
        <v>1918.8064516129032</v>
      </c>
      <c r="O822" s="15"/>
    </row>
    <row r="823" spans="4:15">
      <c r="D823" s="15">
        <v>124255</v>
      </c>
      <c r="E823">
        <v>2384.1666666666665</v>
      </c>
      <c r="F823">
        <v>1809.7756410256411</v>
      </c>
      <c r="G823">
        <v>2367.7884615384614</v>
      </c>
      <c r="H823">
        <v>1918.8141025641025</v>
      </c>
      <c r="O823" s="15"/>
    </row>
    <row r="824" spans="4:15">
      <c r="D824" s="15">
        <v>124300</v>
      </c>
      <c r="E824">
        <v>2384.1401273885349</v>
      </c>
      <c r="F824">
        <v>1809.7452229299363</v>
      </c>
      <c r="G824">
        <v>2367.7707006369428</v>
      </c>
      <c r="H824">
        <v>1918.8216560509554</v>
      </c>
      <c r="O824" s="15"/>
    </row>
    <row r="825" spans="4:15">
      <c r="D825" s="15">
        <v>124305</v>
      </c>
      <c r="E825">
        <v>2384.1139240506327</v>
      </c>
      <c r="F825">
        <v>1809.7151898734178</v>
      </c>
      <c r="G825">
        <v>2367.753164556962</v>
      </c>
      <c r="H825">
        <v>1918.8291139240507</v>
      </c>
      <c r="O825" s="15"/>
    </row>
    <row r="826" spans="4:15">
      <c r="D826" s="15">
        <v>124310</v>
      </c>
      <c r="E826">
        <v>2384.0880503144654</v>
      </c>
      <c r="F826">
        <v>1809.7169811320755</v>
      </c>
      <c r="G826">
        <v>2367.7358490566039</v>
      </c>
      <c r="H826">
        <v>1918.8364779874214</v>
      </c>
      <c r="O826" s="15"/>
    </row>
    <row r="827" spans="4:15">
      <c r="D827" s="15">
        <v>124315</v>
      </c>
      <c r="E827">
        <v>2384.0625</v>
      </c>
      <c r="F827">
        <v>1809.71875</v>
      </c>
      <c r="G827">
        <v>2367.71875</v>
      </c>
      <c r="H827">
        <v>1918.84375</v>
      </c>
      <c r="O827" s="15"/>
    </row>
    <row r="828" spans="4:15">
      <c r="D828" s="15">
        <v>124320</v>
      </c>
      <c r="E828">
        <v>2384.0372670807456</v>
      </c>
      <c r="F828">
        <v>1809.72049689441</v>
      </c>
      <c r="G828">
        <v>2367.7018633540374</v>
      </c>
      <c r="H828">
        <v>1918.8509316770187</v>
      </c>
      <c r="O828" s="15"/>
    </row>
    <row r="829" spans="4:15">
      <c r="D829" s="15">
        <v>124325</v>
      </c>
      <c r="E829">
        <v>2384.0123456790125</v>
      </c>
      <c r="F829">
        <v>1809.6913580246915</v>
      </c>
      <c r="G829">
        <v>2367.6851851851852</v>
      </c>
      <c r="H829">
        <v>1918.858024691358</v>
      </c>
      <c r="O829" s="15"/>
    </row>
    <row r="830" spans="4:15">
      <c r="D830" s="15">
        <v>124330</v>
      </c>
      <c r="E830">
        <v>2383.9877300613498</v>
      </c>
      <c r="F830">
        <v>1809.6625766871166</v>
      </c>
      <c r="G830">
        <v>2367.6687116564417</v>
      </c>
      <c r="H830">
        <v>1918.8343558282209</v>
      </c>
      <c r="O830" s="15"/>
    </row>
    <row r="831" spans="4:15">
      <c r="D831" s="15">
        <v>124335</v>
      </c>
      <c r="E831">
        <v>2383.9634146341464</v>
      </c>
      <c r="F831">
        <v>1809.6646341463415</v>
      </c>
      <c r="G831">
        <v>2367.6524390243903</v>
      </c>
      <c r="H831">
        <v>1918.810975609756</v>
      </c>
      <c r="O831" s="15"/>
    </row>
    <row r="832" spans="4:15">
      <c r="D832" s="15">
        <v>124340</v>
      </c>
      <c r="E832">
        <v>2383.939393939394</v>
      </c>
      <c r="F832">
        <v>1809.6363636363637</v>
      </c>
      <c r="G832">
        <v>2367.6363636363635</v>
      </c>
      <c r="H832">
        <v>1918.8181818181818</v>
      </c>
      <c r="O832" s="15"/>
    </row>
    <row r="833" spans="4:15">
      <c r="D833" s="15">
        <v>124345</v>
      </c>
      <c r="E833">
        <v>2383.9156626506024</v>
      </c>
      <c r="F833">
        <v>1809.6084337349398</v>
      </c>
      <c r="G833">
        <v>2367.6204819277109</v>
      </c>
      <c r="H833">
        <v>1918.7951807228915</v>
      </c>
      <c r="O833" s="15"/>
    </row>
    <row r="834" spans="4:15">
      <c r="D834" s="15">
        <v>124350</v>
      </c>
      <c r="E834">
        <v>2383.8922155688624</v>
      </c>
      <c r="F834">
        <v>1809.5808383233532</v>
      </c>
      <c r="G834">
        <v>2367.6047904191619</v>
      </c>
      <c r="H834">
        <v>1918.8023952095809</v>
      </c>
      <c r="O834" s="15"/>
    </row>
    <row r="835" spans="4:15">
      <c r="D835" s="15">
        <v>124355</v>
      </c>
      <c r="E835">
        <v>2383.8690476190477</v>
      </c>
      <c r="F835">
        <v>1809.5535714285713</v>
      </c>
      <c r="G835">
        <v>2367.5892857142858</v>
      </c>
      <c r="H835">
        <v>1918.8095238095239</v>
      </c>
      <c r="O835" s="15"/>
    </row>
    <row r="836" spans="4:15">
      <c r="D836" s="15">
        <v>124400</v>
      </c>
      <c r="E836">
        <v>2383.8461538461538</v>
      </c>
      <c r="F836">
        <v>1809.5266272189349</v>
      </c>
      <c r="G836">
        <v>2367.5739644970413</v>
      </c>
      <c r="H836">
        <v>1918.7869822485206</v>
      </c>
      <c r="O836" s="15"/>
    </row>
    <row r="837" spans="4:15">
      <c r="D837" s="15">
        <v>124405</v>
      </c>
      <c r="E837">
        <v>2383.8235294117649</v>
      </c>
      <c r="F837">
        <v>1809.5</v>
      </c>
      <c r="G837">
        <v>2367.5588235294117</v>
      </c>
      <c r="H837">
        <v>1918.7647058823529</v>
      </c>
      <c r="O837" s="15"/>
    </row>
    <row r="838" spans="4:15">
      <c r="D838" s="15">
        <v>124410</v>
      </c>
      <c r="E838">
        <v>2383.8011695906434</v>
      </c>
      <c r="F838">
        <v>1809.4736842105262</v>
      </c>
      <c r="G838">
        <v>2367.5438596491226</v>
      </c>
      <c r="H838">
        <v>1918.7719298245613</v>
      </c>
      <c r="O838" s="15"/>
    </row>
    <row r="839" spans="4:15">
      <c r="D839" s="15">
        <v>124415</v>
      </c>
      <c r="E839">
        <v>2383.7790697674418</v>
      </c>
      <c r="F839">
        <v>1809.4476744186047</v>
      </c>
      <c r="G839">
        <v>2367.5290697674418</v>
      </c>
      <c r="H839">
        <v>1918.75</v>
      </c>
      <c r="O839" s="15"/>
    </row>
    <row r="840" spans="4:15">
      <c r="D840" s="15">
        <v>124420</v>
      </c>
      <c r="E840">
        <v>2383.7572254335259</v>
      </c>
      <c r="F840">
        <v>1809.4508670520231</v>
      </c>
      <c r="G840">
        <v>2367.5433526011561</v>
      </c>
      <c r="H840">
        <v>1918.7283236994219</v>
      </c>
      <c r="O840" s="15"/>
    </row>
    <row r="841" spans="4:15">
      <c r="D841" s="15">
        <v>124425</v>
      </c>
      <c r="E841">
        <v>2383.7356321839079</v>
      </c>
      <c r="F841">
        <v>1809.4252873563219</v>
      </c>
      <c r="G841">
        <v>2367.5574712643679</v>
      </c>
      <c r="H841">
        <v>1918.7356321839081</v>
      </c>
      <c r="O841" s="15"/>
    </row>
    <row r="842" spans="4:15">
      <c r="D842" s="15">
        <v>124430</v>
      </c>
      <c r="E842">
        <v>2383.7142857142858</v>
      </c>
      <c r="F842">
        <v>1809.4285714285713</v>
      </c>
      <c r="G842">
        <v>2367.5714285714284</v>
      </c>
      <c r="H842">
        <v>1918.7142857142858</v>
      </c>
      <c r="O842" s="15"/>
    </row>
    <row r="843" spans="4:15">
      <c r="D843" s="15">
        <v>124435</v>
      </c>
      <c r="E843">
        <v>2383.693181818182</v>
      </c>
      <c r="F843">
        <v>1809.4318181818182</v>
      </c>
      <c r="G843">
        <v>2367.5852272727275</v>
      </c>
      <c r="H843">
        <v>1918.721590909091</v>
      </c>
      <c r="O843" s="15"/>
    </row>
    <row r="844" spans="4:15">
      <c r="D844" s="15">
        <v>124440</v>
      </c>
      <c r="E844">
        <v>2383.6723163841807</v>
      </c>
      <c r="F844">
        <v>1809.406779661017</v>
      </c>
      <c r="G844">
        <v>2367.6271186440677</v>
      </c>
      <c r="H844">
        <v>1918.7288135593221</v>
      </c>
      <c r="O844" s="15"/>
    </row>
    <row r="845" spans="4:15">
      <c r="D845" s="15">
        <v>124445</v>
      </c>
      <c r="E845">
        <v>2383.6516853932585</v>
      </c>
      <c r="F845">
        <v>1809.3820224719102</v>
      </c>
      <c r="G845">
        <v>2367.6685393258426</v>
      </c>
      <c r="H845">
        <v>1918.7359550561798</v>
      </c>
      <c r="O845" s="15"/>
    </row>
    <row r="846" spans="4:15">
      <c r="D846" s="15">
        <v>124450</v>
      </c>
      <c r="E846">
        <v>2383.6312849162009</v>
      </c>
      <c r="F846">
        <v>1809.3575418994412</v>
      </c>
      <c r="G846">
        <v>2367.7094972067039</v>
      </c>
      <c r="H846">
        <v>1918.7150837988827</v>
      </c>
      <c r="O846" s="15"/>
    </row>
    <row r="847" spans="4:15">
      <c r="D847" s="15">
        <v>124455</v>
      </c>
      <c r="E847">
        <v>2383.6111111111113</v>
      </c>
      <c r="F847">
        <v>1809.3333333333333</v>
      </c>
      <c r="G847">
        <v>2367.75</v>
      </c>
      <c r="H847">
        <v>1918.7222222222222</v>
      </c>
      <c r="O847" s="15"/>
    </row>
    <row r="848" spans="4:15">
      <c r="D848" s="15">
        <v>124500</v>
      </c>
      <c r="E848">
        <v>2383.5911602209944</v>
      </c>
      <c r="F848">
        <v>1809.3093922651933</v>
      </c>
      <c r="G848">
        <v>2367.790055248619</v>
      </c>
      <c r="H848">
        <v>1918.7292817679559</v>
      </c>
      <c r="O848" s="15"/>
    </row>
    <row r="849" spans="4:15">
      <c r="D849" s="15">
        <v>124505</v>
      </c>
      <c r="E849">
        <v>2383.5714285714284</v>
      </c>
      <c r="F849">
        <v>1809.2857142857142</v>
      </c>
      <c r="G849">
        <v>2367.8296703296705</v>
      </c>
      <c r="H849">
        <v>1918.7362637362637</v>
      </c>
      <c r="O849" s="15"/>
    </row>
    <row r="850" spans="4:15">
      <c r="D850" s="15">
        <v>124510</v>
      </c>
      <c r="E850">
        <v>2383.5519125683059</v>
      </c>
      <c r="F850">
        <v>1809.2622950819673</v>
      </c>
      <c r="G850">
        <v>2367.8688524590166</v>
      </c>
      <c r="H850">
        <v>1918.7431693989072</v>
      </c>
      <c r="O850" s="15"/>
    </row>
    <row r="851" spans="4:15">
      <c r="D851" s="15">
        <v>124515</v>
      </c>
      <c r="E851">
        <v>2383.532608695652</v>
      </c>
      <c r="F851">
        <v>1809.2391304347825</v>
      </c>
      <c r="G851">
        <v>2367.907608695652</v>
      </c>
      <c r="H851">
        <v>1918.75</v>
      </c>
      <c r="O851" s="15"/>
    </row>
    <row r="852" spans="4:15">
      <c r="D852" s="15">
        <v>124520</v>
      </c>
      <c r="E852">
        <v>2383.5135135135133</v>
      </c>
      <c r="F852">
        <v>1809.2432432432433</v>
      </c>
      <c r="G852">
        <v>2367.9459459459458</v>
      </c>
      <c r="H852">
        <v>1918.7567567567567</v>
      </c>
      <c r="O852" s="15"/>
    </row>
    <row r="853" spans="4:15">
      <c r="D853" s="15">
        <v>124525</v>
      </c>
      <c r="E853">
        <v>2383.494623655914</v>
      </c>
      <c r="F853">
        <v>1809.2204301075269</v>
      </c>
      <c r="G853">
        <v>2367.983870967742</v>
      </c>
      <c r="H853">
        <v>1918.736559139785</v>
      </c>
      <c r="O853" s="15"/>
    </row>
    <row r="854" spans="4:15">
      <c r="D854" s="15">
        <v>124530</v>
      </c>
      <c r="E854">
        <v>2383.475935828877</v>
      </c>
      <c r="F854">
        <v>1809.1978609625669</v>
      </c>
      <c r="G854">
        <v>2368.0213903743315</v>
      </c>
      <c r="H854">
        <v>1918.716577540107</v>
      </c>
      <c r="O854" s="15"/>
    </row>
    <row r="855" spans="4:15">
      <c r="D855" s="15">
        <v>124535</v>
      </c>
      <c r="E855">
        <v>2383.4574468085107</v>
      </c>
      <c r="F855">
        <v>1809.2021276595744</v>
      </c>
      <c r="G855">
        <v>2368.0585106382978</v>
      </c>
      <c r="H855">
        <v>1918.7234042553191</v>
      </c>
      <c r="O855" s="15"/>
    </row>
    <row r="856" spans="4:15">
      <c r="D856" s="15">
        <v>124540</v>
      </c>
      <c r="E856">
        <v>2383.4391534391534</v>
      </c>
      <c r="F856">
        <v>1809.2063492063492</v>
      </c>
      <c r="G856">
        <v>2368.0952380952381</v>
      </c>
      <c r="H856">
        <v>1918.7301587301588</v>
      </c>
      <c r="O856" s="15"/>
    </row>
    <row r="857" spans="4:15">
      <c r="D857" s="15">
        <v>124545</v>
      </c>
      <c r="E857">
        <v>2383.4210526315787</v>
      </c>
      <c r="F857">
        <v>1809.1842105263158</v>
      </c>
      <c r="G857">
        <v>2368.1315789473683</v>
      </c>
      <c r="H857">
        <v>1918.7105263157894</v>
      </c>
      <c r="O857" s="15"/>
    </row>
    <row r="858" spans="4:15">
      <c r="D858" s="15">
        <v>124550</v>
      </c>
      <c r="E858">
        <v>2383.4031413612565</v>
      </c>
      <c r="F858">
        <v>1809.1884816753927</v>
      </c>
      <c r="G858">
        <v>2368.1675392670159</v>
      </c>
      <c r="H858">
        <v>1918.7172774869109</v>
      </c>
      <c r="O858" s="15"/>
    </row>
    <row r="859" spans="4:15">
      <c r="D859" s="15">
        <v>124555</v>
      </c>
      <c r="E859">
        <v>2383.3854166666665</v>
      </c>
      <c r="F859">
        <v>1809.1666666666667</v>
      </c>
      <c r="G859">
        <v>2368.203125</v>
      </c>
      <c r="H859">
        <v>1918.7239583333333</v>
      </c>
      <c r="O859" s="15"/>
    </row>
    <row r="860" spans="4:15">
      <c r="D860" s="15">
        <v>124600</v>
      </c>
      <c r="E860">
        <v>2383.3678756476684</v>
      </c>
      <c r="F860">
        <v>1809.1709844559587</v>
      </c>
      <c r="G860">
        <v>2368.2383419689118</v>
      </c>
      <c r="H860">
        <v>1918.7305699481865</v>
      </c>
      <c r="O860" s="15"/>
    </row>
    <row r="861" spans="4:15">
      <c r="D861" s="15">
        <v>124605</v>
      </c>
      <c r="E861">
        <v>2383.3505154639174</v>
      </c>
      <c r="F861">
        <v>1809.1494845360826</v>
      </c>
      <c r="G861">
        <v>2368.2731958762888</v>
      </c>
      <c r="H861">
        <v>1918.7113402061855</v>
      </c>
      <c r="O861" s="15"/>
    </row>
    <row r="862" spans="4:15">
      <c r="D862" s="15">
        <v>124610</v>
      </c>
      <c r="E862">
        <v>2383.3076923076924</v>
      </c>
      <c r="F862">
        <v>1809.1282051282051</v>
      </c>
      <c r="G862">
        <v>2368.3076923076924</v>
      </c>
      <c r="H862">
        <v>1918.7179487179487</v>
      </c>
      <c r="O862" s="15"/>
    </row>
    <row r="863" spans="4:15">
      <c r="D863" s="15">
        <v>124615</v>
      </c>
      <c r="E863">
        <v>2383.2653061224491</v>
      </c>
      <c r="F863">
        <v>1809.1071428571429</v>
      </c>
      <c r="G863">
        <v>2368.341836734694</v>
      </c>
      <c r="H863">
        <v>1918.7244897959183</v>
      </c>
      <c r="O863" s="15"/>
    </row>
    <row r="864" spans="4:15">
      <c r="D864" s="15">
        <v>124620</v>
      </c>
      <c r="E864">
        <v>2383.223350253807</v>
      </c>
      <c r="F864">
        <v>1809.0862944162436</v>
      </c>
      <c r="G864">
        <v>2368.3756345177667</v>
      </c>
      <c r="H864">
        <v>1918.7309644670052</v>
      </c>
      <c r="O864" s="15"/>
    </row>
    <row r="865" spans="4:15">
      <c r="D865" s="15">
        <v>124625</v>
      </c>
      <c r="E865">
        <v>2383.181818181818</v>
      </c>
      <c r="F865">
        <v>1809.0656565656566</v>
      </c>
      <c r="G865">
        <v>2368.409090909091</v>
      </c>
      <c r="H865">
        <v>1918.7373737373737</v>
      </c>
      <c r="O865" s="15"/>
    </row>
    <row r="866" spans="4:15">
      <c r="D866" s="15">
        <v>124630</v>
      </c>
      <c r="E866">
        <v>2383.140703517588</v>
      </c>
      <c r="F866">
        <v>1809.070351758794</v>
      </c>
      <c r="G866">
        <v>2368.4422110552764</v>
      </c>
      <c r="H866">
        <v>1918.7185929648242</v>
      </c>
      <c r="O866" s="15"/>
    </row>
    <row r="867" spans="4:15">
      <c r="D867" s="15">
        <v>124635</v>
      </c>
      <c r="E867">
        <v>2383.1</v>
      </c>
      <c r="F867">
        <v>1809.075</v>
      </c>
      <c r="G867">
        <v>2368.4749999999999</v>
      </c>
      <c r="H867">
        <v>1918.7249999999999</v>
      </c>
      <c r="O867" s="15"/>
    </row>
    <row r="868" spans="4:15">
      <c r="D868" s="15">
        <v>124640</v>
      </c>
      <c r="E868">
        <v>2383.0597014925374</v>
      </c>
      <c r="F868">
        <v>1809.0796019900497</v>
      </c>
      <c r="G868">
        <v>2368.5074626865671</v>
      </c>
      <c r="H868">
        <v>1918.7313432835822</v>
      </c>
      <c r="O868" s="15"/>
    </row>
    <row r="869" spans="4:15">
      <c r="D869" s="15">
        <v>124645</v>
      </c>
      <c r="E869">
        <v>2383.0198019801978</v>
      </c>
      <c r="F869">
        <v>1809.0594059405942</v>
      </c>
      <c r="G869">
        <v>2368.5396039603961</v>
      </c>
      <c r="H869">
        <v>1918.7376237623762</v>
      </c>
      <c r="O869" s="15"/>
    </row>
    <row r="870" spans="4:15">
      <c r="D870" s="15">
        <v>124650</v>
      </c>
      <c r="E870">
        <v>2382.9802955665023</v>
      </c>
      <c r="F870">
        <v>1809.039408866995</v>
      </c>
      <c r="G870">
        <v>2368.5714285714284</v>
      </c>
      <c r="H870">
        <v>1918.7438423645319</v>
      </c>
      <c r="O870" s="15"/>
    </row>
    <row r="871" spans="4:15">
      <c r="D871" s="15">
        <v>124655</v>
      </c>
      <c r="E871">
        <v>2382.9411764705883</v>
      </c>
      <c r="F871">
        <v>1809.0196078431372</v>
      </c>
      <c r="G871">
        <v>2368.6029411764707</v>
      </c>
      <c r="H871">
        <v>1918.75</v>
      </c>
      <c r="O871" s="15"/>
    </row>
    <row r="872" spans="4:15">
      <c r="D872" s="15">
        <v>124700</v>
      </c>
      <c r="E872">
        <v>2382.9024390243903</v>
      </c>
      <c r="F872">
        <v>1809.0243902439024</v>
      </c>
      <c r="G872">
        <v>2368.6341463414633</v>
      </c>
      <c r="H872">
        <v>1918.7560975609756</v>
      </c>
      <c r="O872" s="15"/>
    </row>
    <row r="873" spans="4:15">
      <c r="D873" s="15">
        <v>124705</v>
      </c>
      <c r="E873">
        <v>2382.8640776699031</v>
      </c>
      <c r="F873">
        <v>1809.004854368932</v>
      </c>
      <c r="G873">
        <v>2368.6650485436894</v>
      </c>
      <c r="H873">
        <v>1918.7621359223301</v>
      </c>
      <c r="O873" s="15"/>
    </row>
    <row r="874" spans="4:15">
      <c r="D874" s="15">
        <v>124710</v>
      </c>
      <c r="E874">
        <v>2382.8260869565215</v>
      </c>
      <c r="F874">
        <v>1808.9855072463768</v>
      </c>
      <c r="G874">
        <v>2368.695652173913</v>
      </c>
      <c r="H874">
        <v>1918.768115942029</v>
      </c>
      <c r="O874" s="15"/>
    </row>
    <row r="875" spans="4:15">
      <c r="D875" s="15">
        <v>124715</v>
      </c>
      <c r="E875">
        <v>2382.7884615384614</v>
      </c>
      <c r="F875">
        <v>1808.9903846153845</v>
      </c>
      <c r="G875">
        <v>2368.7019230769229</v>
      </c>
      <c r="H875">
        <v>1918.75</v>
      </c>
      <c r="O875" s="15"/>
    </row>
    <row r="876" spans="4:15">
      <c r="D876" s="15">
        <v>124720</v>
      </c>
      <c r="E876">
        <v>2382.7511961722489</v>
      </c>
      <c r="F876">
        <v>1808.9952153110048</v>
      </c>
      <c r="G876">
        <v>2368.7081339712918</v>
      </c>
      <c r="H876">
        <v>1918.7559808612441</v>
      </c>
      <c r="O876" s="15"/>
    </row>
    <row r="877" spans="4:15">
      <c r="D877" s="15">
        <v>124725</v>
      </c>
      <c r="E877">
        <v>2382.7142857142858</v>
      </c>
      <c r="F877">
        <v>1808.9761904761904</v>
      </c>
      <c r="G877">
        <v>2368.7142857142858</v>
      </c>
      <c r="H877">
        <v>1918.7619047619048</v>
      </c>
      <c r="O877" s="15"/>
    </row>
    <row r="878" spans="4:15">
      <c r="D878" s="15">
        <v>124730</v>
      </c>
      <c r="E878">
        <v>2382.6777251184835</v>
      </c>
      <c r="F878">
        <v>1808.9573459715639</v>
      </c>
      <c r="G878">
        <v>2368.7203791469196</v>
      </c>
      <c r="H878">
        <v>1918.7677725118483</v>
      </c>
      <c r="O878" s="15"/>
    </row>
    <row r="879" spans="4:15">
      <c r="D879" s="15">
        <v>124735</v>
      </c>
      <c r="E879">
        <v>2382.6415094339623</v>
      </c>
      <c r="F879">
        <v>1808.9386792452831</v>
      </c>
      <c r="G879">
        <v>2368.7264150943397</v>
      </c>
      <c r="H879">
        <v>1918.7735849056603</v>
      </c>
      <c r="O879" s="15"/>
    </row>
    <row r="880" spans="4:15">
      <c r="D880" s="15">
        <v>124740</v>
      </c>
      <c r="E880">
        <v>2382.605633802817</v>
      </c>
      <c r="F880">
        <v>1808.9201877934272</v>
      </c>
      <c r="G880">
        <v>2368.7323943661972</v>
      </c>
      <c r="H880">
        <v>1918.7558685446008</v>
      </c>
      <c r="O880" s="15"/>
    </row>
    <row r="881" spans="4:15">
      <c r="D881" s="15">
        <v>124745</v>
      </c>
      <c r="E881">
        <v>2382.570093457944</v>
      </c>
      <c r="F881">
        <v>1808.9018691588785</v>
      </c>
      <c r="G881">
        <v>2368.7383177570096</v>
      </c>
      <c r="H881">
        <v>1918.7383177570093</v>
      </c>
      <c r="O881" s="15"/>
    </row>
    <row r="882" spans="4:15">
      <c r="D882" s="15">
        <v>124750</v>
      </c>
      <c r="E882">
        <v>2382.5348837209303</v>
      </c>
      <c r="F882">
        <v>1808.8837209302326</v>
      </c>
      <c r="G882">
        <v>2368.7674418604652</v>
      </c>
      <c r="H882">
        <v>1918.7441860465117</v>
      </c>
      <c r="O882" s="15"/>
    </row>
    <row r="883" spans="4:15">
      <c r="D883" s="15">
        <v>124755</v>
      </c>
      <c r="E883">
        <v>2382.5</v>
      </c>
      <c r="F883">
        <v>1808.8657407407406</v>
      </c>
      <c r="G883">
        <v>2368.7962962962961</v>
      </c>
      <c r="H883">
        <v>1918.726851851852</v>
      </c>
      <c r="O883" s="15"/>
    </row>
    <row r="884" spans="4:15">
      <c r="D884" s="15">
        <v>124800</v>
      </c>
      <c r="E884">
        <v>2382.4654377880183</v>
      </c>
      <c r="F884">
        <v>1808.8479262672811</v>
      </c>
      <c r="G884">
        <v>2368.8248847926266</v>
      </c>
      <c r="H884">
        <v>1918.7327188940092</v>
      </c>
      <c r="O884" s="15"/>
    </row>
    <row r="885" spans="4:15">
      <c r="D885" s="15">
        <v>124805</v>
      </c>
      <c r="E885">
        <v>2382.4311926605506</v>
      </c>
      <c r="F885">
        <v>1808.8302752293578</v>
      </c>
      <c r="G885">
        <v>2368.8532110091742</v>
      </c>
      <c r="H885">
        <v>1918.7385321100917</v>
      </c>
      <c r="O885" s="15"/>
    </row>
    <row r="886" spans="4:15">
      <c r="D886" s="15">
        <v>124810</v>
      </c>
      <c r="E886">
        <v>2382.3972602739727</v>
      </c>
      <c r="F886">
        <v>1808.8356164383561</v>
      </c>
      <c r="G886">
        <v>2368.8812785388127</v>
      </c>
      <c r="H886">
        <v>1918.7214611872146</v>
      </c>
      <c r="O886" s="15"/>
    </row>
    <row r="887" spans="4:15">
      <c r="D887" s="15">
        <v>124815</v>
      </c>
      <c r="E887">
        <v>2382.3636363636365</v>
      </c>
      <c r="F887">
        <v>1808.840909090909</v>
      </c>
      <c r="G887">
        <v>2368.909090909091</v>
      </c>
      <c r="H887">
        <v>1918.7045454545455</v>
      </c>
      <c r="O887" s="15"/>
    </row>
    <row r="888" spans="4:15">
      <c r="D888" s="15">
        <v>124820</v>
      </c>
      <c r="E888">
        <v>2382.3303167420813</v>
      </c>
      <c r="F888">
        <v>1808.8461538461538</v>
      </c>
      <c r="G888">
        <v>2368.9366515837105</v>
      </c>
      <c r="H888">
        <v>1918.710407239819</v>
      </c>
      <c r="O888" s="15"/>
    </row>
    <row r="889" spans="4:15">
      <c r="D889" s="15">
        <v>124825</v>
      </c>
      <c r="E889">
        <v>2382.2972972972975</v>
      </c>
      <c r="F889">
        <v>1808.8288288288288</v>
      </c>
      <c r="G889">
        <v>2368.963963963964</v>
      </c>
      <c r="H889">
        <v>1918.6936936936936</v>
      </c>
      <c r="O889" s="15"/>
    </row>
    <row r="890" spans="4:15">
      <c r="D890" s="15">
        <v>124830</v>
      </c>
      <c r="E890">
        <v>2382.2645739910313</v>
      </c>
      <c r="F890">
        <v>1808.8340807174889</v>
      </c>
      <c r="G890">
        <v>2368.9910313901346</v>
      </c>
      <c r="H890">
        <v>1918.6995515695066</v>
      </c>
      <c r="O890" s="15"/>
    </row>
    <row r="891" spans="4:15">
      <c r="D891" s="15">
        <v>124835</v>
      </c>
      <c r="E891">
        <v>2382.2321428571427</v>
      </c>
      <c r="F891">
        <v>1808.8169642857142</v>
      </c>
      <c r="G891">
        <v>2369.0178571428573</v>
      </c>
      <c r="H891">
        <v>1918.7053571428571</v>
      </c>
      <c r="O891" s="15"/>
    </row>
    <row r="892" spans="4:15">
      <c r="D892" s="15">
        <v>124840</v>
      </c>
      <c r="E892">
        <v>2382.2222222222222</v>
      </c>
      <c r="F892">
        <v>1808.8</v>
      </c>
      <c r="G892">
        <v>2369.0444444444443</v>
      </c>
      <c r="H892">
        <v>1918.6888888888889</v>
      </c>
      <c r="O892" s="15"/>
    </row>
    <row r="893" spans="4:15">
      <c r="D893" s="15">
        <v>124845</v>
      </c>
      <c r="E893">
        <v>2382.212389380531</v>
      </c>
      <c r="F893">
        <v>1808.783185840708</v>
      </c>
      <c r="G893">
        <v>2369.070796460177</v>
      </c>
      <c r="H893">
        <v>1918.6946902654868</v>
      </c>
      <c r="O893" s="15"/>
    </row>
    <row r="894" spans="4:15">
      <c r="D894" s="15">
        <v>124850</v>
      </c>
      <c r="E894">
        <v>2382.2026431718064</v>
      </c>
      <c r="F894">
        <v>1808.7665198237885</v>
      </c>
      <c r="G894">
        <v>2369.0748898678412</v>
      </c>
      <c r="H894">
        <v>1918.7004405286343</v>
      </c>
      <c r="O894" s="15"/>
    </row>
    <row r="895" spans="4:15">
      <c r="D895" s="15">
        <v>124855</v>
      </c>
      <c r="E895">
        <v>2382.1929824561403</v>
      </c>
      <c r="F895">
        <v>1808.75</v>
      </c>
      <c r="G895">
        <v>2369.0789473684213</v>
      </c>
      <c r="H895">
        <v>1918.7061403508771</v>
      </c>
      <c r="O895" s="15"/>
    </row>
    <row r="896" spans="4:15">
      <c r="D896" s="15">
        <v>124900</v>
      </c>
      <c r="E896">
        <v>2382.1615720524019</v>
      </c>
      <c r="F896">
        <v>1808.7336244541484</v>
      </c>
      <c r="G896">
        <v>2369.0829694323143</v>
      </c>
      <c r="H896">
        <v>1918.7117903930132</v>
      </c>
      <c r="O896" s="15"/>
    </row>
    <row r="897" spans="3:15">
      <c r="D897" s="15">
        <v>124905</v>
      </c>
      <c r="E897">
        <v>2382.1304347826085</v>
      </c>
      <c r="F897">
        <v>1808.7173913043478</v>
      </c>
      <c r="G897">
        <v>2369.086956521739</v>
      </c>
      <c r="H897">
        <v>1918.7173913043478</v>
      </c>
      <c r="O897" s="15"/>
    </row>
    <row r="898" spans="3:15">
      <c r="D898" s="15">
        <v>124910</v>
      </c>
      <c r="E898">
        <v>2382.0995670995671</v>
      </c>
      <c r="F898">
        <v>1808.7012987012988</v>
      </c>
      <c r="G898">
        <v>2369.090909090909</v>
      </c>
      <c r="H898">
        <v>1918.7012987012988</v>
      </c>
      <c r="O898" s="15"/>
    </row>
    <row r="899" spans="3:15">
      <c r="D899" s="15">
        <v>124915</v>
      </c>
      <c r="E899">
        <v>2382.0689655172414</v>
      </c>
      <c r="F899">
        <v>1808.6853448275863</v>
      </c>
      <c r="G899">
        <v>2369.094827586207</v>
      </c>
      <c r="H899">
        <v>1918.7068965517242</v>
      </c>
      <c r="O899" s="15"/>
    </row>
    <row r="900" spans="3:15">
      <c r="D900" s="15">
        <v>124920</v>
      </c>
      <c r="E900">
        <v>2382.038626609442</v>
      </c>
      <c r="F900">
        <v>1808.6909871244636</v>
      </c>
      <c r="G900">
        <v>2369.0987124463518</v>
      </c>
      <c r="H900">
        <v>1918.7124463519312</v>
      </c>
      <c r="O900" s="15"/>
    </row>
    <row r="901" spans="3:15">
      <c r="D901" s="15">
        <v>124925</v>
      </c>
      <c r="E901">
        <v>2382.0085470085469</v>
      </c>
      <c r="F901">
        <v>1808.6752136752136</v>
      </c>
      <c r="G901">
        <v>2369.102564102564</v>
      </c>
      <c r="H901">
        <v>1918.7179487179487</v>
      </c>
      <c r="O901" s="15"/>
    </row>
    <row r="902" spans="3:15">
      <c r="D902" s="15">
        <v>124930</v>
      </c>
      <c r="E902">
        <v>2381.9787234042551</v>
      </c>
      <c r="F902">
        <v>1808.6808510638298</v>
      </c>
      <c r="G902">
        <v>2369.1063829787236</v>
      </c>
      <c r="H902">
        <v>1918.7234042553191</v>
      </c>
      <c r="O902" s="15"/>
    </row>
    <row r="903" spans="3:15">
      <c r="D903" s="15">
        <v>124935</v>
      </c>
      <c r="E903">
        <v>2381.9491525423728</v>
      </c>
      <c r="F903">
        <v>1808.6864406779662</v>
      </c>
      <c r="G903">
        <v>2369.1101694915255</v>
      </c>
      <c r="H903">
        <v>1918.7288135593221</v>
      </c>
      <c r="O903" s="15"/>
    </row>
    <row r="904" spans="3:15">
      <c r="D904" s="15">
        <v>124940</v>
      </c>
      <c r="E904">
        <v>2381.9198312236285</v>
      </c>
      <c r="F904">
        <v>1808.6919831223629</v>
      </c>
      <c r="G904">
        <v>2369.1139240506327</v>
      </c>
      <c r="H904">
        <v>1918.7130801687763</v>
      </c>
      <c r="O904" s="15"/>
    </row>
    <row r="905" spans="3:15">
      <c r="D905" s="15">
        <v>124945</v>
      </c>
      <c r="E905">
        <v>2381.8907563025209</v>
      </c>
      <c r="F905">
        <v>1808.6764705882354</v>
      </c>
      <c r="G905">
        <v>2369.1176470588234</v>
      </c>
      <c r="H905">
        <v>1918.7184873949579</v>
      </c>
      <c r="O905" s="15"/>
    </row>
    <row r="906" spans="3:15">
      <c r="D906" s="15">
        <v>124950</v>
      </c>
      <c r="E906">
        <v>2381.8619246861927</v>
      </c>
      <c r="F906">
        <v>1808.6610878661088</v>
      </c>
      <c r="G906">
        <v>2369.121338912134</v>
      </c>
      <c r="H906">
        <v>1918.7238493723848</v>
      </c>
      <c r="O906" s="15"/>
    </row>
    <row r="907" spans="3:15">
      <c r="D907" s="15">
        <v>124955</v>
      </c>
      <c r="E907">
        <v>2381.8333333333335</v>
      </c>
      <c r="F907">
        <v>1808.6458333333333</v>
      </c>
      <c r="G907">
        <v>2369.125</v>
      </c>
      <c r="H907">
        <v>1918.7291666666667</v>
      </c>
      <c r="O907" s="15"/>
    </row>
    <row r="908" spans="3:15">
      <c r="C908" t="s">
        <v>2705</v>
      </c>
      <c r="D908" s="15">
        <v>125000</v>
      </c>
      <c r="E908">
        <v>2381.8049792531119</v>
      </c>
      <c r="F908">
        <v>1808.630705394191</v>
      </c>
      <c r="G908">
        <v>2369.1286307053942</v>
      </c>
      <c r="H908">
        <v>1918.7344398340249</v>
      </c>
      <c r="O908" s="15"/>
    </row>
    <row r="909" spans="3:15">
      <c r="D909" s="15">
        <v>125005</v>
      </c>
      <c r="E909">
        <v>2381.7561983471073</v>
      </c>
      <c r="F909">
        <v>1808.6157024793388</v>
      </c>
      <c r="G909">
        <v>2369.1322314049585</v>
      </c>
      <c r="H909">
        <v>1918.7396694214876</v>
      </c>
      <c r="O909" s="15"/>
    </row>
    <row r="910" spans="3:15">
      <c r="D910" s="15">
        <v>125010</v>
      </c>
      <c r="E910">
        <v>2381.707818930041</v>
      </c>
      <c r="F910">
        <v>1808.6008230452676</v>
      </c>
      <c r="G910">
        <v>2369.1358024691358</v>
      </c>
      <c r="H910">
        <v>1918.7448559670781</v>
      </c>
      <c r="O910" s="15"/>
    </row>
    <row r="911" spans="3:15">
      <c r="D911" s="15">
        <v>125015</v>
      </c>
      <c r="E911">
        <v>2381.6803278688526</v>
      </c>
      <c r="F911">
        <v>1808.5860655737704</v>
      </c>
      <c r="G911">
        <v>2369.1393442622953</v>
      </c>
      <c r="H911">
        <v>1918.7295081967213</v>
      </c>
      <c r="O911" s="15"/>
    </row>
    <row r="912" spans="3:15">
      <c r="D912" s="15">
        <v>125020</v>
      </c>
      <c r="E912">
        <v>2381.6530612244896</v>
      </c>
      <c r="F912">
        <v>1808.591836734694</v>
      </c>
      <c r="G912">
        <v>2369.1428571428573</v>
      </c>
      <c r="H912">
        <v>1918.7346938775511</v>
      </c>
      <c r="O912" s="15"/>
    </row>
    <row r="913" spans="4:15">
      <c r="D913" s="15">
        <v>125025</v>
      </c>
      <c r="E913">
        <v>2381.6260162601625</v>
      </c>
      <c r="F913">
        <v>1808.5772357723577</v>
      </c>
      <c r="G913">
        <v>2369.1463414634145</v>
      </c>
      <c r="H913">
        <v>1918.739837398374</v>
      </c>
      <c r="O913" s="15"/>
    </row>
    <row r="914" spans="4:15">
      <c r="D914" s="15">
        <v>125030</v>
      </c>
      <c r="E914">
        <v>2381.5991902834007</v>
      </c>
      <c r="F914">
        <v>1808.5627530364372</v>
      </c>
      <c r="G914">
        <v>2369.1497975708503</v>
      </c>
      <c r="H914">
        <v>1918.7449392712551</v>
      </c>
      <c r="O914" s="15"/>
    </row>
    <row r="915" spans="4:15">
      <c r="D915" s="15">
        <v>125035</v>
      </c>
      <c r="E915">
        <v>2381.5725806451615</v>
      </c>
      <c r="F915">
        <v>1808.5483870967741</v>
      </c>
      <c r="G915">
        <v>2369.1532258064517</v>
      </c>
      <c r="H915">
        <v>1918.75</v>
      </c>
      <c r="O915" s="15"/>
    </row>
    <row r="916" spans="4:15">
      <c r="D916" s="15">
        <v>125040</v>
      </c>
      <c r="E916">
        <v>2381.5461847389556</v>
      </c>
      <c r="F916">
        <v>1808.5542168674699</v>
      </c>
      <c r="G916">
        <v>2369.1566265060242</v>
      </c>
      <c r="H916">
        <v>1918.7550200803212</v>
      </c>
      <c r="O916" s="15"/>
    </row>
    <row r="917" spans="4:15">
      <c r="D917" s="15">
        <v>125045</v>
      </c>
      <c r="E917">
        <v>2381.52</v>
      </c>
      <c r="F917">
        <v>1808.54</v>
      </c>
      <c r="G917">
        <v>2369.16</v>
      </c>
      <c r="H917">
        <v>1918.76</v>
      </c>
      <c r="O917" s="15"/>
    </row>
    <row r="918" spans="4:15">
      <c r="D918" s="15">
        <v>125050</v>
      </c>
      <c r="E918">
        <v>2381.4940239043826</v>
      </c>
      <c r="F918">
        <v>1808.5458167330678</v>
      </c>
      <c r="G918">
        <v>2369.1633466135459</v>
      </c>
      <c r="H918">
        <v>1918.7649402390439</v>
      </c>
      <c r="O918" s="15"/>
    </row>
    <row r="919" spans="4:15">
      <c r="D919" s="15">
        <v>125055</v>
      </c>
      <c r="E919">
        <v>2381.468253968254</v>
      </c>
      <c r="F919">
        <v>1808.5515873015872</v>
      </c>
      <c r="G919">
        <v>2369.1666666666665</v>
      </c>
      <c r="H919">
        <v>1918.7698412698412</v>
      </c>
      <c r="O919" s="15"/>
    </row>
    <row r="920" spans="4:15">
      <c r="D920" s="15">
        <v>125100</v>
      </c>
      <c r="E920">
        <v>2381.4426877470355</v>
      </c>
      <c r="F920">
        <v>1808.5573122529645</v>
      </c>
      <c r="G920">
        <v>2369.189723320158</v>
      </c>
      <c r="H920">
        <v>1918.7747035573123</v>
      </c>
      <c r="O920" s="15"/>
    </row>
    <row r="921" spans="4:15">
      <c r="D921" s="15">
        <v>125105</v>
      </c>
      <c r="E921">
        <v>2381.4173228346458</v>
      </c>
      <c r="F921">
        <v>1808.5433070866143</v>
      </c>
      <c r="G921">
        <v>2369.212598425197</v>
      </c>
      <c r="H921">
        <v>1918.7795275590552</v>
      </c>
      <c r="O921" s="15"/>
    </row>
    <row r="922" spans="4:15">
      <c r="D922" s="15">
        <v>125110</v>
      </c>
      <c r="E922">
        <v>2381.3921568627452</v>
      </c>
      <c r="F922">
        <v>1808.5294117647059</v>
      </c>
      <c r="G922">
        <v>2369.2352941176468</v>
      </c>
      <c r="H922">
        <v>1918.7843137254902</v>
      </c>
      <c r="O922" s="15"/>
    </row>
    <row r="923" spans="4:15">
      <c r="D923" s="15">
        <v>125115</v>
      </c>
      <c r="E923">
        <v>2381.3671875</v>
      </c>
      <c r="F923">
        <v>1808.515625</v>
      </c>
      <c r="G923">
        <v>2369.2578125</v>
      </c>
      <c r="H923">
        <v>1918.7890625</v>
      </c>
      <c r="O923" s="15"/>
    </row>
    <row r="924" spans="4:15">
      <c r="D924" s="15">
        <v>125120</v>
      </c>
      <c r="E924">
        <v>2381.3424124513617</v>
      </c>
      <c r="F924">
        <v>1808.5019455252918</v>
      </c>
      <c r="G924">
        <v>2369.2801556420231</v>
      </c>
      <c r="H924">
        <v>1918.7937743190662</v>
      </c>
      <c r="O924" s="15"/>
    </row>
    <row r="925" spans="4:15">
      <c r="D925" s="15">
        <v>125125</v>
      </c>
      <c r="E925">
        <v>2381.3178294573645</v>
      </c>
      <c r="F925">
        <v>1808.4883720930231</v>
      </c>
      <c r="G925">
        <v>2369.3023255813955</v>
      </c>
      <c r="H925">
        <v>1918.7984496124031</v>
      </c>
      <c r="O925" s="15"/>
    </row>
    <row r="926" spans="4:15">
      <c r="D926" s="15">
        <v>125130</v>
      </c>
      <c r="E926">
        <v>2381.2934362934361</v>
      </c>
      <c r="F926">
        <v>1808.4942084942086</v>
      </c>
      <c r="G926">
        <v>2369.3243243243242</v>
      </c>
      <c r="H926">
        <v>1918.8030888030887</v>
      </c>
      <c r="O926" s="15"/>
    </row>
    <row r="927" spans="4:15">
      <c r="D927" s="15">
        <v>125135</v>
      </c>
      <c r="E927">
        <v>2381.2692307692309</v>
      </c>
      <c r="F927">
        <v>1808.5</v>
      </c>
      <c r="G927">
        <v>2369.3461538461538</v>
      </c>
      <c r="H927">
        <v>1918.8076923076924</v>
      </c>
      <c r="O927" s="15"/>
    </row>
    <row r="928" spans="4:15">
      <c r="D928" s="15">
        <v>125140</v>
      </c>
      <c r="E928">
        <v>2381.2452107279692</v>
      </c>
      <c r="F928">
        <v>1808.5057471264367</v>
      </c>
      <c r="G928">
        <v>2369.367816091954</v>
      </c>
      <c r="H928">
        <v>1918.8122605363985</v>
      </c>
      <c r="O928" s="15"/>
    </row>
    <row r="929" spans="4:15">
      <c r="D929" s="15">
        <v>125145</v>
      </c>
      <c r="E929">
        <v>2381.2213740458014</v>
      </c>
      <c r="F929">
        <v>1808.5114503816794</v>
      </c>
      <c r="G929">
        <v>2369.3893129770991</v>
      </c>
      <c r="H929">
        <v>1918.8167938931297</v>
      </c>
      <c r="O929" s="15"/>
    </row>
    <row r="930" spans="4:15">
      <c r="D930" s="15">
        <v>125150</v>
      </c>
      <c r="E930">
        <v>2381.1977186311788</v>
      </c>
      <c r="F930">
        <v>1808.5171102661598</v>
      </c>
      <c r="G930">
        <v>2369.4106463878329</v>
      </c>
      <c r="H930">
        <v>1918.8212927756654</v>
      </c>
      <c r="O930" s="15"/>
    </row>
    <row r="931" spans="4:15">
      <c r="D931" s="15">
        <v>125155</v>
      </c>
      <c r="E931">
        <v>2381.1742424242425</v>
      </c>
      <c r="F931">
        <v>1808.5227272727273</v>
      </c>
      <c r="G931">
        <v>2369.431818181818</v>
      </c>
      <c r="H931">
        <v>1918.8068181818182</v>
      </c>
      <c r="O931" s="15"/>
    </row>
    <row r="932" spans="4:15">
      <c r="D932" s="15">
        <v>125200</v>
      </c>
      <c r="E932">
        <v>2381.1509433962265</v>
      </c>
      <c r="F932">
        <v>1808.5283018867924</v>
      </c>
      <c r="G932">
        <v>2369.4528301886794</v>
      </c>
      <c r="H932">
        <v>1918.8113207547169</v>
      </c>
      <c r="O932" s="15"/>
    </row>
    <row r="933" spans="4:15">
      <c r="D933" s="15">
        <v>125205</v>
      </c>
      <c r="E933">
        <v>2381.1278195488721</v>
      </c>
      <c r="F933">
        <v>1808.515037593985</v>
      </c>
      <c r="G933">
        <v>2369.4736842105262</v>
      </c>
      <c r="H933">
        <v>1918.8157894736842</v>
      </c>
      <c r="O933" s="15"/>
    </row>
    <row r="934" spans="4:15">
      <c r="D934" s="15">
        <v>125210</v>
      </c>
      <c r="E934">
        <v>2381.1048689138579</v>
      </c>
      <c r="F934">
        <v>1808.5018726591761</v>
      </c>
      <c r="G934">
        <v>2369.4943820224721</v>
      </c>
      <c r="H934">
        <v>1918.8202247191011</v>
      </c>
      <c r="O934" s="15"/>
    </row>
    <row r="935" spans="4:15">
      <c r="D935" s="15">
        <v>125215</v>
      </c>
      <c r="E935">
        <v>2381.0820895522388</v>
      </c>
      <c r="F935">
        <v>1808.5074626865671</v>
      </c>
      <c r="G935">
        <v>2369.5149253731342</v>
      </c>
      <c r="H935">
        <v>1918.8246268656717</v>
      </c>
      <c r="O935" s="15"/>
    </row>
    <row r="936" spans="4:15">
      <c r="D936" s="15">
        <v>125220</v>
      </c>
      <c r="E936">
        <v>2381.0594795539032</v>
      </c>
      <c r="F936">
        <v>1808.5130111524163</v>
      </c>
      <c r="G936">
        <v>2369.5353159851302</v>
      </c>
      <c r="H936">
        <v>1918.8289962825279</v>
      </c>
      <c r="O936" s="15"/>
    </row>
    <row r="937" spans="4:15">
      <c r="D937" s="15">
        <v>125225</v>
      </c>
      <c r="E937">
        <v>2381.037037037037</v>
      </c>
      <c r="F937">
        <v>1808.5</v>
      </c>
      <c r="G937">
        <v>2369.5555555555557</v>
      </c>
      <c r="H937">
        <v>1918.8333333333333</v>
      </c>
      <c r="O937" s="15"/>
    </row>
    <row r="938" spans="4:15">
      <c r="D938" s="15">
        <v>125230</v>
      </c>
      <c r="E938">
        <v>2381.0147601476015</v>
      </c>
      <c r="F938">
        <v>1808.4870848708488</v>
      </c>
      <c r="G938">
        <v>2369.5756457564576</v>
      </c>
      <c r="H938">
        <v>1918.8376383763837</v>
      </c>
      <c r="O938" s="15"/>
    </row>
    <row r="939" spans="4:15">
      <c r="D939" s="15">
        <v>125235</v>
      </c>
      <c r="E939">
        <v>2381.0110294117649</v>
      </c>
      <c r="F939">
        <v>1808.4742647058824</v>
      </c>
      <c r="G939">
        <v>2369.6139705882351</v>
      </c>
      <c r="H939">
        <v>1918.8419117647059</v>
      </c>
      <c r="O939" s="15"/>
    </row>
    <row r="940" spans="4:15">
      <c r="D940" s="15">
        <v>125240</v>
      </c>
      <c r="E940">
        <v>2381.0073260073259</v>
      </c>
      <c r="F940">
        <v>1808.4798534798535</v>
      </c>
      <c r="G940">
        <v>2369.6520146520147</v>
      </c>
      <c r="H940">
        <v>1918.8461538461538</v>
      </c>
      <c r="O940" s="15"/>
    </row>
    <row r="941" spans="4:15">
      <c r="D941" s="15">
        <v>125245</v>
      </c>
      <c r="E941">
        <v>2381.0036496350367</v>
      </c>
      <c r="F941">
        <v>1808.4671532846714</v>
      </c>
      <c r="G941">
        <v>2369.6897810218979</v>
      </c>
      <c r="H941">
        <v>1918.8503649635036</v>
      </c>
      <c r="O941" s="15"/>
    </row>
    <row r="942" spans="4:15">
      <c r="D942" s="15">
        <v>125250</v>
      </c>
      <c r="E942">
        <v>2381</v>
      </c>
      <c r="F942">
        <v>1808.4727272727273</v>
      </c>
      <c r="G942">
        <v>2369.7272727272725</v>
      </c>
      <c r="H942">
        <v>1918.8545454545454</v>
      </c>
      <c r="O942" s="15"/>
    </row>
    <row r="943" spans="4:15">
      <c r="D943" s="15">
        <v>125255</v>
      </c>
      <c r="E943">
        <v>2380.996376811594</v>
      </c>
      <c r="F943">
        <v>1808.4782608695652</v>
      </c>
      <c r="G943">
        <v>2369.764492753623</v>
      </c>
      <c r="H943">
        <v>1918.858695652174</v>
      </c>
      <c r="O943" s="15"/>
    </row>
    <row r="944" spans="4:15">
      <c r="D944" s="15">
        <v>125300</v>
      </c>
      <c r="E944">
        <v>2380.9927797833934</v>
      </c>
      <c r="F944">
        <v>1808.4657039711192</v>
      </c>
      <c r="G944">
        <v>2369.8014440433212</v>
      </c>
      <c r="H944">
        <v>1918.8628158844765</v>
      </c>
      <c r="O944" s="15"/>
    </row>
    <row r="945" spans="4:15">
      <c r="D945" s="15">
        <v>125305</v>
      </c>
      <c r="E945">
        <v>2380.9892086330933</v>
      </c>
      <c r="F945">
        <v>1808.453237410072</v>
      </c>
      <c r="G945">
        <v>2369.8381294964029</v>
      </c>
      <c r="H945">
        <v>1918.8669064748201</v>
      </c>
      <c r="O945" s="15"/>
    </row>
    <row r="946" spans="4:15">
      <c r="D946" s="15">
        <v>125310</v>
      </c>
      <c r="E946">
        <v>2380.9856630824374</v>
      </c>
      <c r="F946">
        <v>1808.4408602150538</v>
      </c>
      <c r="G946">
        <v>2369.8745519713261</v>
      </c>
      <c r="H946">
        <v>1918.8709677419354</v>
      </c>
      <c r="O946" s="15"/>
    </row>
    <row r="947" spans="4:15">
      <c r="D947" s="15">
        <v>125315</v>
      </c>
      <c r="E947">
        <v>2380.9821428571427</v>
      </c>
      <c r="F947">
        <v>1808.4464285714287</v>
      </c>
      <c r="G947">
        <v>2369.9107142857142</v>
      </c>
      <c r="H947">
        <v>1918.875</v>
      </c>
      <c r="O947" s="15"/>
    </row>
    <row r="948" spans="4:15">
      <c r="D948" s="15">
        <v>125320</v>
      </c>
      <c r="E948">
        <v>2380.9786476868326</v>
      </c>
      <c r="F948">
        <v>1808.4519572953736</v>
      </c>
      <c r="G948">
        <v>2369.9466192170817</v>
      </c>
      <c r="H948">
        <v>1918.8790035587188</v>
      </c>
      <c r="O948" s="15"/>
    </row>
    <row r="949" spans="4:15">
      <c r="D949" s="15">
        <v>125325</v>
      </c>
      <c r="E949">
        <v>2380.9751773049647</v>
      </c>
      <c r="F949">
        <v>1808.4397163120568</v>
      </c>
      <c r="G949">
        <v>2369.9822695035459</v>
      </c>
      <c r="H949">
        <v>1918.8652482269504</v>
      </c>
      <c r="O949" s="15"/>
    </row>
    <row r="950" spans="4:15">
      <c r="D950" s="15">
        <v>125330</v>
      </c>
      <c r="E950">
        <v>2380.9717314487634</v>
      </c>
      <c r="F950">
        <v>1808.4452296819788</v>
      </c>
      <c r="G950">
        <v>2370.0176678445227</v>
      </c>
      <c r="H950">
        <v>1918.86925795053</v>
      </c>
      <c r="O950" s="15"/>
    </row>
    <row r="951" spans="4:15">
      <c r="D951" s="15">
        <v>125335</v>
      </c>
      <c r="E951">
        <v>2380.9683098591549</v>
      </c>
      <c r="F951">
        <v>1808.4507042253522</v>
      </c>
      <c r="G951">
        <v>2370.0528169014083</v>
      </c>
      <c r="H951">
        <v>1918.8732394366198</v>
      </c>
      <c r="O951" s="15"/>
    </row>
    <row r="952" spans="4:15">
      <c r="D952" s="15">
        <v>125340</v>
      </c>
      <c r="E952">
        <v>2380.9649122807018</v>
      </c>
      <c r="F952">
        <v>1808.4385964912281</v>
      </c>
      <c r="G952">
        <v>2370.0877192982457</v>
      </c>
      <c r="H952">
        <v>1918.8771929824561</v>
      </c>
      <c r="O952" s="15"/>
    </row>
    <row r="953" spans="4:15">
      <c r="D953" s="15">
        <v>125345</v>
      </c>
      <c r="E953">
        <v>2380.9615384615386</v>
      </c>
      <c r="F953">
        <v>1808.4265734265734</v>
      </c>
      <c r="G953">
        <v>2370.1223776223778</v>
      </c>
      <c r="H953">
        <v>1918.8811188811189</v>
      </c>
      <c r="O953" s="15"/>
    </row>
    <row r="954" spans="4:15">
      <c r="D954" s="15">
        <v>125350</v>
      </c>
      <c r="E954">
        <v>2380.9581881533099</v>
      </c>
      <c r="F954">
        <v>1808.4146341463415</v>
      </c>
      <c r="G954">
        <v>2370.1567944250869</v>
      </c>
      <c r="H954">
        <v>1918.8850174216027</v>
      </c>
      <c r="O954" s="15"/>
    </row>
    <row r="955" spans="4:15">
      <c r="D955" s="15">
        <v>125355</v>
      </c>
      <c r="E955">
        <v>2380.9548611111113</v>
      </c>
      <c r="F955">
        <v>1808.4027777777778</v>
      </c>
      <c r="G955">
        <v>2370.1909722222222</v>
      </c>
      <c r="H955">
        <v>1918.8888888888889</v>
      </c>
      <c r="O955" s="15"/>
    </row>
    <row r="956" spans="4:15">
      <c r="D956" s="15">
        <v>125400</v>
      </c>
      <c r="E956">
        <v>2380.9515570934254</v>
      </c>
      <c r="F956">
        <v>1808.3910034602077</v>
      </c>
      <c r="G956">
        <v>2370.2249134948097</v>
      </c>
      <c r="H956">
        <v>1918.892733564014</v>
      </c>
      <c r="O956" s="15"/>
    </row>
    <row r="957" spans="4:15">
      <c r="D957" s="15">
        <v>125405</v>
      </c>
      <c r="E957">
        <v>2380.9310344827586</v>
      </c>
      <c r="F957">
        <v>1808.3793103448277</v>
      </c>
      <c r="G957">
        <v>2370.2586206896553</v>
      </c>
      <c r="H957">
        <v>1918.8965517241379</v>
      </c>
      <c r="O957" s="15"/>
    </row>
    <row r="958" spans="4:15">
      <c r="D958" s="15">
        <v>125410</v>
      </c>
      <c r="E958">
        <v>2380.9106529209621</v>
      </c>
      <c r="F958">
        <v>1808.3676975945018</v>
      </c>
      <c r="G958">
        <v>2370.2920962199314</v>
      </c>
      <c r="H958">
        <v>1918.8831615120275</v>
      </c>
      <c r="O958" s="15"/>
    </row>
    <row r="959" spans="4:15">
      <c r="D959" s="15">
        <v>125415</v>
      </c>
      <c r="E959">
        <v>2380.8904109589039</v>
      </c>
      <c r="F959">
        <v>1808.3732876712329</v>
      </c>
      <c r="G959">
        <v>2370.3253424657532</v>
      </c>
      <c r="H959">
        <v>1918.8869863013699</v>
      </c>
      <c r="O959" s="15"/>
    </row>
    <row r="960" spans="4:15">
      <c r="D960" s="15">
        <v>125420</v>
      </c>
      <c r="E960">
        <v>2380.8703071672353</v>
      </c>
      <c r="F960">
        <v>1808.3617747440273</v>
      </c>
      <c r="G960">
        <v>2370.358361774744</v>
      </c>
      <c r="H960">
        <v>1918.8907849829352</v>
      </c>
      <c r="O960" s="15"/>
    </row>
    <row r="961" spans="4:15">
      <c r="D961" s="15">
        <v>125425</v>
      </c>
      <c r="E961">
        <v>2380.8503401360545</v>
      </c>
      <c r="F961">
        <v>1808.3503401360545</v>
      </c>
      <c r="G961">
        <v>2370.408163265306</v>
      </c>
      <c r="H961">
        <v>1918.8945578231292</v>
      </c>
      <c r="O961" s="15"/>
    </row>
    <row r="962" spans="4:15">
      <c r="D962" s="15">
        <v>125430</v>
      </c>
      <c r="E962">
        <v>2380.8305084745762</v>
      </c>
      <c r="F962">
        <v>1808.3559322033898</v>
      </c>
      <c r="G962">
        <v>2370.4576271186443</v>
      </c>
      <c r="H962">
        <v>1918.8983050847457</v>
      </c>
      <c r="O962" s="15"/>
    </row>
    <row r="963" spans="4:15">
      <c r="D963" s="15">
        <v>125435</v>
      </c>
      <c r="E963">
        <v>2380.8108108108108</v>
      </c>
      <c r="F963">
        <v>1808.3445945945946</v>
      </c>
      <c r="G963">
        <v>2370.5067567567567</v>
      </c>
      <c r="H963">
        <v>1918.9020270270271</v>
      </c>
      <c r="O963" s="15"/>
    </row>
    <row r="964" spans="4:15">
      <c r="D964" s="15">
        <v>125440</v>
      </c>
      <c r="E964">
        <v>2380.7912457912457</v>
      </c>
      <c r="F964">
        <v>1808.3333333333333</v>
      </c>
      <c r="G964">
        <v>2370.5555555555557</v>
      </c>
      <c r="H964">
        <v>1918.8888888888889</v>
      </c>
      <c r="O964" s="15"/>
    </row>
    <row r="965" spans="4:15">
      <c r="D965" s="15">
        <v>125445</v>
      </c>
      <c r="E965">
        <v>2380.7718120805371</v>
      </c>
      <c r="F965">
        <v>1808.3221476510066</v>
      </c>
      <c r="G965">
        <v>2370.5872483221478</v>
      </c>
      <c r="H965">
        <v>1918.8926174496644</v>
      </c>
      <c r="O965" s="15"/>
    </row>
    <row r="966" spans="4:15">
      <c r="D966" s="15">
        <v>125450</v>
      </c>
      <c r="E966">
        <v>2380.7692307692309</v>
      </c>
      <c r="F966">
        <v>1808.3277591973244</v>
      </c>
      <c r="G966">
        <v>2370.6187290969901</v>
      </c>
      <c r="H966">
        <v>1918.8963210702341</v>
      </c>
      <c r="O966" s="15"/>
    </row>
    <row r="967" spans="4:15">
      <c r="D967" s="15">
        <v>125455</v>
      </c>
      <c r="E967">
        <v>2380.7666666666669</v>
      </c>
      <c r="F967">
        <v>1808.3166666666666</v>
      </c>
      <c r="G967">
        <v>2370.65</v>
      </c>
      <c r="H967">
        <v>1918.8833333333334</v>
      </c>
      <c r="O967" s="15"/>
    </row>
    <row r="968" spans="4:15">
      <c r="D968" s="15">
        <v>125500</v>
      </c>
      <c r="E968">
        <v>2380.7641196013287</v>
      </c>
      <c r="F968">
        <v>1808.3222591362126</v>
      </c>
      <c r="G968">
        <v>2370.6810631229237</v>
      </c>
      <c r="H968">
        <v>1918.8870431893688</v>
      </c>
      <c r="O968" s="15"/>
    </row>
    <row r="969" spans="4:15">
      <c r="D969" s="15">
        <v>125505</v>
      </c>
      <c r="E969">
        <v>2380.7450331125829</v>
      </c>
      <c r="F969">
        <v>1808.3112582781457</v>
      </c>
      <c r="G969">
        <v>2370.7119205298013</v>
      </c>
      <c r="H969">
        <v>1918.8907284768211</v>
      </c>
      <c r="O969" s="15"/>
    </row>
    <row r="970" spans="4:15">
      <c r="D970" s="15">
        <v>125510</v>
      </c>
      <c r="E970">
        <v>2380.7260726072609</v>
      </c>
      <c r="F970">
        <v>1808.3003300330033</v>
      </c>
      <c r="G970">
        <v>2370.7425742574255</v>
      </c>
      <c r="H970">
        <v>1918.8943894389438</v>
      </c>
      <c r="O970" s="15"/>
    </row>
    <row r="971" spans="4:15">
      <c r="D971" s="15">
        <v>125515</v>
      </c>
      <c r="E971">
        <v>2380.7072368421054</v>
      </c>
      <c r="F971">
        <v>1808.3059210526317</v>
      </c>
      <c r="G971">
        <v>2370.7730263157896</v>
      </c>
      <c r="H971">
        <v>1918.8980263157894</v>
      </c>
      <c r="O971" s="15"/>
    </row>
    <row r="972" spans="4:15">
      <c r="D972" s="15">
        <v>125520</v>
      </c>
      <c r="E972">
        <v>2380.688524590164</v>
      </c>
      <c r="F972">
        <v>1808.295081967213</v>
      </c>
      <c r="G972">
        <v>2370.8032786885246</v>
      </c>
      <c r="H972">
        <v>1918.8852459016393</v>
      </c>
      <c r="O972" s="15"/>
    </row>
    <row r="973" spans="4:15">
      <c r="D973" s="15">
        <v>125525</v>
      </c>
      <c r="E973">
        <v>2380.669934640523</v>
      </c>
      <c r="F973">
        <v>1808.2843137254902</v>
      </c>
      <c r="G973">
        <v>2370.8333333333335</v>
      </c>
      <c r="H973">
        <v>1918.8888888888889</v>
      </c>
      <c r="O973" s="15"/>
    </row>
    <row r="974" spans="4:15">
      <c r="D974" s="15">
        <v>125530</v>
      </c>
      <c r="E974">
        <v>2380.6514657980456</v>
      </c>
      <c r="F974">
        <v>1808.2736156351791</v>
      </c>
      <c r="G974">
        <v>2370.8631921824103</v>
      </c>
      <c r="H974">
        <v>1918.8925081433224</v>
      </c>
      <c r="O974" s="15"/>
    </row>
    <row r="975" spans="4:15">
      <c r="D975" s="15">
        <v>125535</v>
      </c>
      <c r="E975">
        <v>2380.6331168831171</v>
      </c>
      <c r="F975">
        <v>1808.2792207792209</v>
      </c>
      <c r="G975">
        <v>2370.8928571428573</v>
      </c>
      <c r="H975">
        <v>1918.8961038961038</v>
      </c>
      <c r="O975" s="15"/>
    </row>
    <row r="976" spans="4:15">
      <c r="D976" s="15">
        <v>125540</v>
      </c>
      <c r="E976">
        <v>2380.6148867313914</v>
      </c>
      <c r="F976">
        <v>1808.284789644013</v>
      </c>
      <c r="G976">
        <v>2370.9385113268609</v>
      </c>
      <c r="H976">
        <v>1918.8996763754046</v>
      </c>
      <c r="O976" s="15"/>
    </row>
    <row r="977" spans="4:15">
      <c r="D977" s="15">
        <v>125545</v>
      </c>
      <c r="E977">
        <v>2380.5967741935483</v>
      </c>
      <c r="F977">
        <v>1808.2741935483871</v>
      </c>
      <c r="G977">
        <v>2370.983870967742</v>
      </c>
      <c r="H977">
        <v>1918.9032258064517</v>
      </c>
      <c r="O977" s="15"/>
    </row>
    <row r="978" spans="4:15">
      <c r="D978" s="15">
        <v>125550</v>
      </c>
      <c r="E978">
        <v>2380.5787781350482</v>
      </c>
      <c r="F978">
        <v>1808.2636655948554</v>
      </c>
      <c r="G978">
        <v>2371.0289389067525</v>
      </c>
      <c r="H978">
        <v>1918.8906752411576</v>
      </c>
      <c r="O978" s="15"/>
    </row>
    <row r="979" spans="4:15">
      <c r="D979" s="15">
        <v>125555</v>
      </c>
      <c r="E979">
        <v>2380.5608974358975</v>
      </c>
      <c r="F979">
        <v>1808.2532051282051</v>
      </c>
      <c r="G979">
        <v>2371.0737179487178</v>
      </c>
      <c r="H979">
        <v>1918.8942307692307</v>
      </c>
      <c r="O979" s="15"/>
    </row>
    <row r="980" spans="4:15">
      <c r="D980" s="15">
        <v>125600</v>
      </c>
      <c r="E980">
        <v>2380.5591054313099</v>
      </c>
      <c r="F980">
        <v>1808.2428115015975</v>
      </c>
      <c r="G980">
        <v>2371.1182108626199</v>
      </c>
      <c r="H980">
        <v>1918.8977635782749</v>
      </c>
      <c r="O980" s="15"/>
    </row>
    <row r="981" spans="4:15">
      <c r="D981" s="15">
        <v>125605</v>
      </c>
      <c r="E981">
        <v>2380.5414012738852</v>
      </c>
      <c r="F981">
        <v>1808.2324840764331</v>
      </c>
      <c r="G981">
        <v>2371.1624203821657</v>
      </c>
      <c r="H981">
        <v>1918.9012738853503</v>
      </c>
      <c r="O981" s="15"/>
    </row>
    <row r="982" spans="4:15">
      <c r="D982" s="15">
        <v>125610</v>
      </c>
      <c r="E982">
        <v>2380.5238095238096</v>
      </c>
      <c r="F982">
        <v>1808.2380952380952</v>
      </c>
      <c r="G982">
        <v>2371.2063492063494</v>
      </c>
      <c r="H982">
        <v>1918.9047619047619</v>
      </c>
      <c r="O982" s="15"/>
    </row>
    <row r="983" spans="4:15">
      <c r="D983" s="15">
        <v>125615</v>
      </c>
      <c r="E983">
        <v>2380.506329113924</v>
      </c>
      <c r="F983">
        <v>1808.2278481012659</v>
      </c>
      <c r="G983">
        <v>2371.25</v>
      </c>
      <c r="H983">
        <v>1918.9082278481012</v>
      </c>
      <c r="O983" s="15"/>
    </row>
    <row r="984" spans="4:15">
      <c r="D984" s="15">
        <v>125620</v>
      </c>
      <c r="E984">
        <v>2380.4889589905365</v>
      </c>
      <c r="F984">
        <v>1808.2334384858045</v>
      </c>
      <c r="G984">
        <v>2371.2933753943216</v>
      </c>
      <c r="H984">
        <v>1918.9116719242902</v>
      </c>
      <c r="O984" s="15"/>
    </row>
    <row r="985" spans="4:15">
      <c r="D985" s="15">
        <v>125625</v>
      </c>
      <c r="E985">
        <v>2380.4874213836479</v>
      </c>
      <c r="F985">
        <v>1808.2232704402516</v>
      </c>
      <c r="G985">
        <v>2371.3364779874214</v>
      </c>
      <c r="H985">
        <v>1918.8993710691823</v>
      </c>
      <c r="O985" s="15"/>
    </row>
    <row r="986" spans="4:15">
      <c r="D986" s="15">
        <v>125630</v>
      </c>
      <c r="E986">
        <v>2380.4858934169279</v>
      </c>
      <c r="F986">
        <v>1808.2131661442006</v>
      </c>
      <c r="G986">
        <v>2371.3793103448274</v>
      </c>
      <c r="H986">
        <v>1918.9028213166143</v>
      </c>
      <c r="O986" s="15"/>
    </row>
    <row r="987" spans="4:15">
      <c r="D987" s="15">
        <v>125635</v>
      </c>
      <c r="E987">
        <v>2380.484375</v>
      </c>
      <c r="F987">
        <v>1808.21875</v>
      </c>
      <c r="G987">
        <v>2371.421875</v>
      </c>
      <c r="H987">
        <v>1918.90625</v>
      </c>
      <c r="O987" s="15"/>
    </row>
    <row r="988" spans="4:15">
      <c r="D988" s="15">
        <v>125640</v>
      </c>
      <c r="E988">
        <v>2380.4828660436137</v>
      </c>
      <c r="F988">
        <v>1808.2087227414331</v>
      </c>
      <c r="G988">
        <v>2371.4641744548285</v>
      </c>
      <c r="H988">
        <v>1918.9096573208724</v>
      </c>
      <c r="O988" s="15"/>
    </row>
    <row r="989" spans="4:15">
      <c r="D989" s="15">
        <v>125645</v>
      </c>
      <c r="E989">
        <v>2380.4813664596272</v>
      </c>
      <c r="F989">
        <v>1808.1987577639752</v>
      </c>
      <c r="G989">
        <v>2371.5062111801244</v>
      </c>
      <c r="H989">
        <v>1918.9130434782608</v>
      </c>
      <c r="O989" s="15"/>
    </row>
    <row r="990" spans="4:15">
      <c r="D990" s="15">
        <v>125650</v>
      </c>
      <c r="E990">
        <v>2380.4798761609909</v>
      </c>
      <c r="F990">
        <v>1808.2043343653252</v>
      </c>
      <c r="G990">
        <v>2371.5479876160989</v>
      </c>
      <c r="H990">
        <v>1918.9009287925696</v>
      </c>
      <c r="O990" s="15"/>
    </row>
    <row r="991" spans="4:15">
      <c r="D991" s="15">
        <v>125655</v>
      </c>
      <c r="E991">
        <v>2380.4475308641977</v>
      </c>
      <c r="F991">
        <v>1808.2098765432099</v>
      </c>
      <c r="G991">
        <v>2371.5895061728397</v>
      </c>
      <c r="H991">
        <v>1918.8888888888889</v>
      </c>
      <c r="O991" s="15"/>
    </row>
    <row r="992" spans="4:15">
      <c r="D992" s="15">
        <v>125700</v>
      </c>
      <c r="E992">
        <v>2380.4153846153845</v>
      </c>
      <c r="F992">
        <v>1808.2153846153847</v>
      </c>
      <c r="G992">
        <v>2371.6307692307691</v>
      </c>
      <c r="H992">
        <v>1918.8923076923077</v>
      </c>
      <c r="O992" s="15"/>
    </row>
    <row r="993" spans="4:15">
      <c r="D993" s="15">
        <v>125705</v>
      </c>
      <c r="E993">
        <v>2380.3834355828221</v>
      </c>
      <c r="F993">
        <v>1808.2055214723925</v>
      </c>
      <c r="G993">
        <v>2371.6717791411043</v>
      </c>
      <c r="H993">
        <v>1918.8957055214723</v>
      </c>
      <c r="O993" s="15"/>
    </row>
    <row r="994" spans="4:15">
      <c r="D994" s="15">
        <v>125710</v>
      </c>
      <c r="E994">
        <v>2380.3516819571864</v>
      </c>
      <c r="F994">
        <v>1808.211009174312</v>
      </c>
      <c r="G994">
        <v>2371.7125382262998</v>
      </c>
      <c r="H994">
        <v>1918.8837920489298</v>
      </c>
      <c r="O994" s="15"/>
    </row>
    <row r="995" spans="4:15">
      <c r="D995" s="15">
        <v>125715</v>
      </c>
      <c r="E995">
        <v>2380.3201219512193</v>
      </c>
      <c r="F995">
        <v>1808.2164634146341</v>
      </c>
      <c r="G995">
        <v>2371.7378048780488</v>
      </c>
      <c r="H995">
        <v>1918.8719512195121</v>
      </c>
      <c r="O995" s="15"/>
    </row>
    <row r="996" spans="4:15">
      <c r="D996" s="15">
        <v>125720</v>
      </c>
      <c r="E996">
        <v>2380.288753799392</v>
      </c>
      <c r="F996">
        <v>1808.2218844984802</v>
      </c>
      <c r="G996">
        <v>2371.7629179331307</v>
      </c>
      <c r="H996">
        <v>1918.8753799392098</v>
      </c>
      <c r="O996" s="15"/>
    </row>
    <row r="997" spans="4:15">
      <c r="D997" s="15">
        <v>125725</v>
      </c>
      <c r="E997">
        <v>2380.257575757576</v>
      </c>
      <c r="F997">
        <v>1808.2121212121212</v>
      </c>
      <c r="G997">
        <v>2371.787878787879</v>
      </c>
      <c r="H997">
        <v>1918.878787878788</v>
      </c>
      <c r="O997" s="15"/>
    </row>
    <row r="998" spans="4:15">
      <c r="D998" s="15">
        <v>125730</v>
      </c>
      <c r="E998">
        <v>2380.226586102719</v>
      </c>
      <c r="F998">
        <v>1808.2175226586103</v>
      </c>
      <c r="G998">
        <v>2371.8126888217521</v>
      </c>
      <c r="H998">
        <v>1918.882175226586</v>
      </c>
      <c r="O998" s="15"/>
    </row>
    <row r="999" spans="4:15">
      <c r="D999" s="15">
        <v>125735</v>
      </c>
      <c r="E999">
        <v>2380.1957831325303</v>
      </c>
      <c r="F999">
        <v>1808.2078313253012</v>
      </c>
      <c r="G999">
        <v>2371.8373493975905</v>
      </c>
      <c r="H999">
        <v>1918.8855421686746</v>
      </c>
      <c r="O999" s="15"/>
    </row>
    <row r="1000" spans="4:15">
      <c r="D1000" s="15">
        <v>125740</v>
      </c>
      <c r="E1000">
        <v>2380.165165165165</v>
      </c>
      <c r="F1000">
        <v>1808.1981981981983</v>
      </c>
      <c r="G1000">
        <v>2371.8618618618621</v>
      </c>
      <c r="H1000">
        <v>1918.8888888888889</v>
      </c>
      <c r="O1000" s="15"/>
    </row>
    <row r="1001" spans="4:15">
      <c r="D1001" s="15">
        <v>125745</v>
      </c>
      <c r="E1001">
        <v>2380.1347305389222</v>
      </c>
      <c r="F1001">
        <v>1808.188622754491</v>
      </c>
      <c r="G1001">
        <v>2371.8862275449101</v>
      </c>
      <c r="H1001">
        <v>1918.8922155688622</v>
      </c>
      <c r="O1001" s="15"/>
    </row>
    <row r="1002" spans="4:15">
      <c r="D1002" s="15">
        <v>125750</v>
      </c>
      <c r="E1002">
        <v>2380.1044776119402</v>
      </c>
      <c r="F1002">
        <v>1808.1791044776119</v>
      </c>
      <c r="G1002">
        <v>2371.9253731343283</v>
      </c>
      <c r="H1002">
        <v>1918.8955223880596</v>
      </c>
      <c r="O1002" s="15"/>
    </row>
    <row r="1003" spans="4:15">
      <c r="D1003" s="15">
        <v>125755</v>
      </c>
      <c r="E1003">
        <v>2380.0744047619046</v>
      </c>
      <c r="F1003">
        <v>1808.1845238095239</v>
      </c>
      <c r="G1003">
        <v>2371.9642857142858</v>
      </c>
      <c r="H1003">
        <v>1918.8988095238096</v>
      </c>
      <c r="O1003" s="15"/>
    </row>
    <row r="1004" spans="4:15">
      <c r="D1004" s="15">
        <v>125800</v>
      </c>
      <c r="E1004">
        <v>2380.0445103857569</v>
      </c>
      <c r="F1004">
        <v>1808.1899109792284</v>
      </c>
      <c r="G1004">
        <v>2372.0029673590507</v>
      </c>
      <c r="H1004">
        <v>1918.9020771513353</v>
      </c>
      <c r="O1004" s="15"/>
    </row>
    <row r="1005" spans="4:15">
      <c r="D1005" s="15">
        <v>125805</v>
      </c>
      <c r="E1005">
        <v>2380.0295857988167</v>
      </c>
      <c r="F1005">
        <v>1808.1804733727811</v>
      </c>
      <c r="G1005">
        <v>2372.041420118343</v>
      </c>
      <c r="H1005">
        <v>1918.905325443787</v>
      </c>
      <c r="O1005" s="15"/>
    </row>
    <row r="1006" spans="4:15">
      <c r="D1006" s="15">
        <v>125810</v>
      </c>
      <c r="E1006">
        <v>2380.014749262537</v>
      </c>
      <c r="F1006">
        <v>1808.1710914454277</v>
      </c>
      <c r="G1006">
        <v>2372.0796460176989</v>
      </c>
      <c r="H1006">
        <v>1918.9085545722714</v>
      </c>
      <c r="O1006" s="15"/>
    </row>
    <row r="1007" spans="4:15">
      <c r="D1007" s="15">
        <v>125815</v>
      </c>
      <c r="E1007">
        <v>2380</v>
      </c>
      <c r="F1007">
        <v>1808.1617647058824</v>
      </c>
      <c r="G1007">
        <v>2372.1176470588234</v>
      </c>
      <c r="H1007">
        <v>1918.8970588235295</v>
      </c>
      <c r="O1007" s="15"/>
    </row>
    <row r="1008" spans="4:15">
      <c r="D1008" s="15">
        <v>125820</v>
      </c>
      <c r="E1008">
        <v>2379.9853372434018</v>
      </c>
      <c r="F1008">
        <v>1808.16715542522</v>
      </c>
      <c r="G1008">
        <v>2372.1554252199412</v>
      </c>
      <c r="H1008">
        <v>1918.9002932551321</v>
      </c>
      <c r="O1008" s="15"/>
    </row>
    <row r="1009" spans="4:15">
      <c r="D1009" s="15">
        <v>125825</v>
      </c>
      <c r="E1009">
        <v>2379.9707602339181</v>
      </c>
      <c r="F1009">
        <v>1808.1578947368421</v>
      </c>
      <c r="G1009">
        <v>2372.1929824561403</v>
      </c>
      <c r="H1009">
        <v>1918.9035087719299</v>
      </c>
      <c r="O1009" s="15"/>
    </row>
    <row r="1010" spans="4:15">
      <c r="D1010" s="15">
        <v>125830</v>
      </c>
      <c r="E1010">
        <v>2379.9562682215742</v>
      </c>
      <c r="F1010">
        <v>1808.1486880466473</v>
      </c>
      <c r="G1010">
        <v>2372.2303206997085</v>
      </c>
      <c r="H1010">
        <v>1918.8921282798833</v>
      </c>
      <c r="O1010" s="15"/>
    </row>
    <row r="1011" spans="4:15">
      <c r="D1011" s="15">
        <v>125835</v>
      </c>
      <c r="E1011">
        <v>2379.9418604651164</v>
      </c>
      <c r="F1011">
        <v>1808.1395348837209</v>
      </c>
      <c r="G1011">
        <v>2372.2529069767443</v>
      </c>
      <c r="H1011">
        <v>1918.8953488372092</v>
      </c>
      <c r="O1011" s="15"/>
    </row>
    <row r="1012" spans="4:15">
      <c r="D1012" s="15">
        <v>125840</v>
      </c>
      <c r="E1012">
        <v>2379.927536231884</v>
      </c>
      <c r="F1012">
        <v>1808.1304347826087</v>
      </c>
      <c r="G1012">
        <v>2372.2753623188405</v>
      </c>
      <c r="H1012">
        <v>1918.8985507246377</v>
      </c>
      <c r="O1012" s="15"/>
    </row>
    <row r="1013" spans="4:15">
      <c r="D1013" s="15">
        <v>125845</v>
      </c>
      <c r="E1013">
        <v>2379.9132947976877</v>
      </c>
      <c r="F1013">
        <v>1808.121387283237</v>
      </c>
      <c r="G1013">
        <v>2372.2976878612717</v>
      </c>
      <c r="H1013">
        <v>1918.8872832369941</v>
      </c>
      <c r="O1013" s="15"/>
    </row>
    <row r="1014" spans="4:15">
      <c r="D1014" s="15">
        <v>125850</v>
      </c>
      <c r="E1014">
        <v>2379.8991354466857</v>
      </c>
      <c r="F1014">
        <v>1808.1268011527377</v>
      </c>
      <c r="G1014">
        <v>2372.3198847262247</v>
      </c>
      <c r="H1014">
        <v>1918.8904899135446</v>
      </c>
      <c r="O1014" s="15"/>
    </row>
    <row r="1015" spans="4:15">
      <c r="D1015" s="15">
        <v>125855</v>
      </c>
      <c r="E1015">
        <v>2379.8850574712642</v>
      </c>
      <c r="F1015">
        <v>1808.117816091954</v>
      </c>
      <c r="G1015">
        <v>2372.3419540229884</v>
      </c>
      <c r="H1015">
        <v>1918.8936781609195</v>
      </c>
      <c r="O1015" s="15"/>
    </row>
    <row r="1016" spans="4:15">
      <c r="D1016" s="15">
        <v>125900</v>
      </c>
      <c r="E1016">
        <v>2379.8710601719199</v>
      </c>
      <c r="F1016">
        <v>1808.1232091690545</v>
      </c>
      <c r="G1016">
        <v>2372.3638968481378</v>
      </c>
      <c r="H1016">
        <v>1918.8968481375359</v>
      </c>
      <c r="O1016" s="15"/>
    </row>
    <row r="1017" spans="4:15">
      <c r="D1017" s="15">
        <v>125905</v>
      </c>
      <c r="E1017">
        <v>2379.8571428571427</v>
      </c>
      <c r="F1017">
        <v>1808.1142857142856</v>
      </c>
      <c r="G1017">
        <v>2372.3857142857141</v>
      </c>
      <c r="H1017">
        <v>1918.9</v>
      </c>
      <c r="O1017" s="15"/>
    </row>
    <row r="1018" spans="4:15">
      <c r="D1018" s="15">
        <v>125910</v>
      </c>
      <c r="E1018">
        <v>2379.8433048433048</v>
      </c>
      <c r="F1018">
        <v>1808.1054131054132</v>
      </c>
      <c r="G1018">
        <v>2372.4074074074074</v>
      </c>
      <c r="H1018">
        <v>1918.9031339031339</v>
      </c>
      <c r="O1018" s="15"/>
    </row>
    <row r="1019" spans="4:15">
      <c r="D1019" s="15">
        <v>125915</v>
      </c>
      <c r="E1019">
        <v>2379.8295454545455</v>
      </c>
      <c r="F1019">
        <v>1808.096590909091</v>
      </c>
      <c r="G1019">
        <v>2372.4289772727275</v>
      </c>
      <c r="H1019">
        <v>1918.90625</v>
      </c>
      <c r="O1019" s="15"/>
    </row>
    <row r="1020" spans="4:15">
      <c r="D1020" s="15">
        <v>125920</v>
      </c>
      <c r="E1020">
        <v>2379.8158640226629</v>
      </c>
      <c r="F1020">
        <v>1808.0878186968839</v>
      </c>
      <c r="G1020">
        <v>2372.4504249291786</v>
      </c>
      <c r="H1020">
        <v>1918.8951841359774</v>
      </c>
      <c r="O1020" s="15"/>
    </row>
    <row r="1021" spans="4:15">
      <c r="D1021" s="15">
        <v>125925</v>
      </c>
      <c r="E1021">
        <v>2379.8022598870057</v>
      </c>
      <c r="F1021">
        <v>1808.0790960451977</v>
      </c>
      <c r="G1021">
        <v>2372.4717514124295</v>
      </c>
      <c r="H1021">
        <v>1918.8983050847457</v>
      </c>
      <c r="O1021" s="15"/>
    </row>
    <row r="1022" spans="4:15">
      <c r="D1022" s="15">
        <v>125930</v>
      </c>
      <c r="E1022">
        <v>2379.788732394366</v>
      </c>
      <c r="F1022">
        <v>1808.0704225352113</v>
      </c>
      <c r="G1022">
        <v>2372.4929577464791</v>
      </c>
      <c r="H1022">
        <v>1918.8873239436621</v>
      </c>
      <c r="O1022" s="15"/>
    </row>
    <row r="1023" spans="4:15">
      <c r="D1023" s="15">
        <v>125935</v>
      </c>
      <c r="E1023">
        <v>2379.7752808988762</v>
      </c>
      <c r="F1023">
        <v>1808.0758426966293</v>
      </c>
      <c r="G1023">
        <v>2372.5140449438204</v>
      </c>
      <c r="H1023">
        <v>1918.8904494382023</v>
      </c>
      <c r="O1023" s="15"/>
    </row>
    <row r="1024" spans="4:15">
      <c r="D1024" s="15">
        <v>125940</v>
      </c>
      <c r="E1024">
        <v>2379.7619047619046</v>
      </c>
      <c r="F1024">
        <v>1808.0672268907563</v>
      </c>
      <c r="G1024">
        <v>2372.5350140056021</v>
      </c>
      <c r="H1024">
        <v>1918.8935574229693</v>
      </c>
      <c r="O1024" s="15"/>
    </row>
    <row r="1025" spans="4:15">
      <c r="D1025" s="15">
        <v>125945</v>
      </c>
      <c r="E1025">
        <v>2379.7486033519554</v>
      </c>
      <c r="F1025">
        <v>1808.058659217877</v>
      </c>
      <c r="G1025">
        <v>2372.5558659217877</v>
      </c>
      <c r="H1025">
        <v>1918.8826815642458</v>
      </c>
      <c r="O1025" s="15"/>
    </row>
    <row r="1026" spans="4:15">
      <c r="D1026" s="15">
        <v>125950</v>
      </c>
      <c r="E1026">
        <v>2379.7353760445681</v>
      </c>
      <c r="F1026">
        <v>1808.0640668523677</v>
      </c>
      <c r="G1026">
        <v>2372.5766016713092</v>
      </c>
      <c r="H1026">
        <v>1918.8718662952647</v>
      </c>
      <c r="O1026" s="15"/>
    </row>
    <row r="1027" spans="4:15">
      <c r="D1027" s="15">
        <v>125955</v>
      </c>
      <c r="E1027">
        <v>2379.7222222222222</v>
      </c>
      <c r="F1027">
        <v>1808.0694444444443</v>
      </c>
      <c r="G1027">
        <v>2372.5972222222222</v>
      </c>
      <c r="H1027">
        <v>1918.875</v>
      </c>
      <c r="O1027" s="15"/>
    </row>
    <row r="1028" spans="4:15">
      <c r="D1028" s="15">
        <v>130000</v>
      </c>
      <c r="E1028">
        <v>2379.7091412742384</v>
      </c>
      <c r="F1028">
        <v>1808.060941828255</v>
      </c>
      <c r="G1028">
        <v>2372.6177285318558</v>
      </c>
      <c r="H1028">
        <v>1918.8781163434903</v>
      </c>
      <c r="O1028" s="15"/>
    </row>
    <row r="1029" spans="4:15">
      <c r="D1029" s="15">
        <v>130005</v>
      </c>
      <c r="E1029">
        <v>2379.6961325966849</v>
      </c>
      <c r="F1029">
        <v>1808.0524861878453</v>
      </c>
      <c r="G1029">
        <v>2372.6104972375692</v>
      </c>
      <c r="H1029">
        <v>1918.8674033149171</v>
      </c>
      <c r="O1029" s="15"/>
    </row>
    <row r="1030" spans="4:15">
      <c r="D1030" s="15">
        <v>130010</v>
      </c>
      <c r="E1030">
        <v>2379.6831955922867</v>
      </c>
      <c r="F1030">
        <v>1808.0578512396694</v>
      </c>
      <c r="G1030">
        <v>2372.6033057851241</v>
      </c>
      <c r="H1030">
        <v>1918.8567493112948</v>
      </c>
      <c r="O1030" s="15"/>
    </row>
    <row r="1031" spans="4:15">
      <c r="D1031" s="15">
        <v>130015</v>
      </c>
      <c r="E1031">
        <v>2379.6703296703295</v>
      </c>
      <c r="F1031">
        <v>1808.0494505494505</v>
      </c>
      <c r="G1031">
        <v>2372.5961538461538</v>
      </c>
      <c r="H1031">
        <v>1918.8461538461538</v>
      </c>
      <c r="O1031" s="15"/>
    </row>
    <row r="1032" spans="4:15">
      <c r="D1032" s="15">
        <v>130020</v>
      </c>
      <c r="E1032">
        <v>2379.6575342465753</v>
      </c>
      <c r="F1032">
        <v>1808.041095890411</v>
      </c>
      <c r="G1032">
        <v>2372.5890410958905</v>
      </c>
      <c r="H1032">
        <v>1918.8493150684931</v>
      </c>
      <c r="O1032" s="15"/>
    </row>
    <row r="1033" spans="4:15">
      <c r="D1033" s="15">
        <v>130025</v>
      </c>
      <c r="E1033">
        <v>2379.6448087431695</v>
      </c>
      <c r="F1033">
        <v>1808.032786885246</v>
      </c>
      <c r="G1033">
        <v>2372.5819672131147</v>
      </c>
      <c r="H1033">
        <v>1918.8524590163934</v>
      </c>
      <c r="O1033" s="15"/>
    </row>
    <row r="1034" spans="4:15">
      <c r="D1034" s="15">
        <v>130030</v>
      </c>
      <c r="E1034">
        <v>2379.632152588556</v>
      </c>
      <c r="F1034">
        <v>1808.024523160763</v>
      </c>
      <c r="G1034">
        <v>2372.574931880109</v>
      </c>
      <c r="H1034">
        <v>1918.841961852861</v>
      </c>
      <c r="O1034" s="15"/>
    </row>
    <row r="1035" spans="4:15">
      <c r="D1035" s="15">
        <v>130035</v>
      </c>
      <c r="E1035">
        <v>2379.633152173913</v>
      </c>
      <c r="F1035">
        <v>1808.016304347826</v>
      </c>
      <c r="G1035">
        <v>2372.5679347826085</v>
      </c>
      <c r="H1035">
        <v>1918.8315217391305</v>
      </c>
      <c r="O1035" s="15"/>
    </row>
    <row r="1036" spans="4:15">
      <c r="D1036" s="15">
        <v>130040</v>
      </c>
      <c r="E1036">
        <v>2379.6341463414633</v>
      </c>
      <c r="F1036">
        <v>1808.0081300813008</v>
      </c>
      <c r="G1036">
        <v>2372.560975609756</v>
      </c>
      <c r="H1036">
        <v>1918.8346883468835</v>
      </c>
      <c r="O1036" s="15"/>
    </row>
    <row r="1037" spans="4:15">
      <c r="D1037" s="15">
        <v>130045</v>
      </c>
      <c r="E1037">
        <v>2379.635135135135</v>
      </c>
      <c r="F1037">
        <v>1808</v>
      </c>
      <c r="G1037">
        <v>2372.5540540540542</v>
      </c>
      <c r="H1037">
        <v>1918.8243243243244</v>
      </c>
      <c r="O1037" s="15"/>
    </row>
    <row r="1038" spans="4:15">
      <c r="D1038" s="15">
        <v>130050</v>
      </c>
      <c r="E1038">
        <v>2379.6361185983828</v>
      </c>
      <c r="F1038">
        <v>1807.9919137466306</v>
      </c>
      <c r="G1038">
        <v>2372.5471698113206</v>
      </c>
      <c r="H1038">
        <v>1918.8140161725066</v>
      </c>
      <c r="O1038" s="15"/>
    </row>
    <row r="1039" spans="4:15">
      <c r="D1039" s="15">
        <v>130055</v>
      </c>
      <c r="E1039">
        <v>2379.6370967741937</v>
      </c>
      <c r="F1039">
        <v>1807.983870967742</v>
      </c>
      <c r="G1039">
        <v>2372.5403225806454</v>
      </c>
      <c r="H1039">
        <v>1918.8172043010752</v>
      </c>
      <c r="O1039" s="15"/>
    </row>
    <row r="1040" spans="4:15">
      <c r="D1040" s="15">
        <v>130100</v>
      </c>
      <c r="E1040">
        <v>2379.6246648793567</v>
      </c>
      <c r="F1040">
        <v>1807.975871313673</v>
      </c>
      <c r="G1040">
        <v>2372.5335120643431</v>
      </c>
      <c r="H1040">
        <v>1918.8069705093833</v>
      </c>
      <c r="O1040" s="15"/>
    </row>
    <row r="1041" spans="4:15">
      <c r="D1041" s="15">
        <v>130105</v>
      </c>
      <c r="E1041">
        <v>2379.6122994652405</v>
      </c>
      <c r="F1041">
        <v>1807.9679144385027</v>
      </c>
      <c r="G1041">
        <v>2372.5267379679144</v>
      </c>
      <c r="H1041">
        <v>1918.7967914438502</v>
      </c>
      <c r="O1041" s="15"/>
    </row>
    <row r="1042" spans="4:15">
      <c r="D1042" s="15">
        <v>130110</v>
      </c>
      <c r="E1042">
        <v>2379.6</v>
      </c>
      <c r="F1042">
        <v>1807.96</v>
      </c>
      <c r="G1042">
        <v>2372.52</v>
      </c>
      <c r="H1042">
        <v>1918.8</v>
      </c>
      <c r="O1042" s="15"/>
    </row>
    <row r="1043" spans="4:15">
      <c r="D1043" s="15">
        <v>130115</v>
      </c>
      <c r="E1043">
        <v>2379.5877659574467</v>
      </c>
      <c r="F1043">
        <v>1807.9521276595744</v>
      </c>
      <c r="G1043">
        <v>2372.5132978723404</v>
      </c>
      <c r="H1043">
        <v>1918.7898936170213</v>
      </c>
      <c r="O1043" s="15"/>
    </row>
    <row r="1044" spans="4:15">
      <c r="D1044" s="15">
        <v>130120</v>
      </c>
      <c r="E1044">
        <v>2379.575596816976</v>
      </c>
      <c r="F1044">
        <v>1807.9442970822281</v>
      </c>
      <c r="G1044">
        <v>2372.5066312997346</v>
      </c>
      <c r="H1044">
        <v>1918.7798408488063</v>
      </c>
      <c r="O1044" s="15"/>
    </row>
    <row r="1045" spans="4:15">
      <c r="D1045" s="15">
        <v>130125</v>
      </c>
      <c r="E1045">
        <v>2379.5502645502647</v>
      </c>
      <c r="F1045">
        <v>1807.936507936508</v>
      </c>
      <c r="G1045">
        <v>2372.5</v>
      </c>
      <c r="H1045">
        <v>1918.7830687830688</v>
      </c>
      <c r="O1045" s="15"/>
    </row>
    <row r="1046" spans="4:15">
      <c r="D1046" s="15">
        <v>130130</v>
      </c>
      <c r="E1046">
        <v>2379.5250659630606</v>
      </c>
      <c r="F1046">
        <v>1807.9287598944591</v>
      </c>
      <c r="G1046">
        <v>2372.4934036939312</v>
      </c>
      <c r="H1046">
        <v>1918.7730870712401</v>
      </c>
      <c r="O1046" s="15"/>
    </row>
    <row r="1047" spans="4:15">
      <c r="D1047" s="15">
        <v>130135</v>
      </c>
      <c r="E1047">
        <v>2379.5</v>
      </c>
      <c r="F1047">
        <v>1807.921052631579</v>
      </c>
      <c r="G1047">
        <v>2372.4868421052633</v>
      </c>
      <c r="H1047">
        <v>1918.7631578947369</v>
      </c>
      <c r="O1047" s="15"/>
    </row>
    <row r="1048" spans="4:15">
      <c r="D1048" s="15">
        <v>130140</v>
      </c>
      <c r="E1048">
        <v>2379.475065616798</v>
      </c>
      <c r="F1048">
        <v>1807.9133858267717</v>
      </c>
      <c r="G1048">
        <v>2372.48031496063</v>
      </c>
      <c r="H1048">
        <v>1918.7664041994751</v>
      </c>
      <c r="O1048" s="15"/>
    </row>
    <row r="1049" spans="4:15">
      <c r="D1049" s="15">
        <v>130145</v>
      </c>
      <c r="E1049">
        <v>2379.4502617801049</v>
      </c>
      <c r="F1049">
        <v>1807.9057591623036</v>
      </c>
      <c r="G1049">
        <v>2372.4738219895289</v>
      </c>
      <c r="H1049">
        <v>1918.7565445026178</v>
      </c>
      <c r="O1049" s="15"/>
    </row>
    <row r="1050" spans="4:15">
      <c r="D1050" s="15">
        <v>130150</v>
      </c>
      <c r="E1050">
        <v>2379.4255874673631</v>
      </c>
      <c r="F1050">
        <v>1807.8981723237598</v>
      </c>
      <c r="G1050">
        <v>2372.467362924282</v>
      </c>
      <c r="H1050">
        <v>1918.7467362924283</v>
      </c>
      <c r="O1050" s="15"/>
    </row>
    <row r="1051" spans="4:15">
      <c r="D1051" s="15">
        <v>130155</v>
      </c>
      <c r="E1051">
        <v>2379.4010416666665</v>
      </c>
      <c r="F1051">
        <v>1807.890625</v>
      </c>
      <c r="G1051">
        <v>2372.4609375</v>
      </c>
      <c r="H1051">
        <v>1918.75</v>
      </c>
      <c r="O1051" s="15"/>
    </row>
    <row r="1052" spans="4:15">
      <c r="D1052" s="15">
        <v>130200</v>
      </c>
      <c r="E1052">
        <v>2379.3896103896104</v>
      </c>
      <c r="F1052">
        <v>1807.8961038961038</v>
      </c>
      <c r="G1052">
        <v>2372.4545454545455</v>
      </c>
      <c r="H1052">
        <v>1918.7532467532467</v>
      </c>
      <c r="O1052" s="15"/>
    </row>
    <row r="1053" spans="4:15">
      <c r="D1053" s="15">
        <v>130205</v>
      </c>
      <c r="E1053">
        <v>2379.3782383419689</v>
      </c>
      <c r="F1053">
        <v>1807.8886010362694</v>
      </c>
      <c r="G1053">
        <v>2372.4481865284974</v>
      </c>
      <c r="H1053">
        <v>1918.7435233160622</v>
      </c>
      <c r="O1053" s="15"/>
    </row>
    <row r="1054" spans="4:15">
      <c r="D1054" s="15">
        <v>130210</v>
      </c>
      <c r="E1054">
        <v>2379.3669250645994</v>
      </c>
      <c r="F1054">
        <v>1807.8811369509044</v>
      </c>
      <c r="G1054">
        <v>2372.4418604651164</v>
      </c>
      <c r="H1054">
        <v>1918.7467700258399</v>
      </c>
      <c r="O1054" s="15"/>
    </row>
    <row r="1055" spans="4:15">
      <c r="D1055" s="15">
        <v>130215</v>
      </c>
      <c r="E1055">
        <v>2379.355670103093</v>
      </c>
      <c r="F1055">
        <v>1807.8737113402062</v>
      </c>
      <c r="G1055">
        <v>2372.4355670103091</v>
      </c>
      <c r="H1055">
        <v>1918.7371134020618</v>
      </c>
      <c r="O1055" s="15"/>
    </row>
    <row r="1056" spans="4:15">
      <c r="D1056" s="15">
        <v>130220</v>
      </c>
      <c r="E1056">
        <v>2379.3444730077122</v>
      </c>
      <c r="F1056">
        <v>1807.8663239074551</v>
      </c>
      <c r="G1056">
        <v>2372.4293059125962</v>
      </c>
      <c r="H1056">
        <v>1918.7403598971723</v>
      </c>
      <c r="O1056" s="15"/>
    </row>
    <row r="1057" spans="4:15">
      <c r="D1057" s="15">
        <v>130225</v>
      </c>
      <c r="E1057">
        <v>2379.3333333333335</v>
      </c>
      <c r="F1057">
        <v>1807.8589743589744</v>
      </c>
      <c r="G1057">
        <v>2372.4230769230771</v>
      </c>
      <c r="H1057">
        <v>1918.7435897435898</v>
      </c>
      <c r="O1057" s="15"/>
    </row>
    <row r="1058" spans="4:15">
      <c r="D1058" s="15">
        <v>130230</v>
      </c>
      <c r="E1058">
        <v>2379.3222506393863</v>
      </c>
      <c r="F1058">
        <v>1807.8516624040922</v>
      </c>
      <c r="G1058">
        <v>2372.4168797953962</v>
      </c>
      <c r="H1058">
        <v>1918.7468030690536</v>
      </c>
      <c r="O1058" s="15"/>
    </row>
    <row r="1059" spans="4:15">
      <c r="D1059" s="15">
        <v>130235</v>
      </c>
      <c r="E1059">
        <v>2379.3112244897961</v>
      </c>
      <c r="F1059">
        <v>1807.8443877551019</v>
      </c>
      <c r="G1059">
        <v>2372.4107142857142</v>
      </c>
      <c r="H1059">
        <v>1918.7372448979593</v>
      </c>
      <c r="O1059" s="15"/>
    </row>
    <row r="1060" spans="4:15">
      <c r="D1060" s="15">
        <v>130240</v>
      </c>
      <c r="E1060">
        <v>2379.3002544529263</v>
      </c>
      <c r="F1060">
        <v>1807.8371501272266</v>
      </c>
      <c r="G1060">
        <v>2372.4045801526718</v>
      </c>
      <c r="H1060">
        <v>1918.7277353689567</v>
      </c>
      <c r="O1060" s="15"/>
    </row>
    <row r="1061" spans="4:15">
      <c r="D1061" s="15">
        <v>130245</v>
      </c>
      <c r="E1061">
        <v>2379.2893401015231</v>
      </c>
      <c r="F1061">
        <v>1807.8299492385786</v>
      </c>
      <c r="G1061">
        <v>2372.3984771573605</v>
      </c>
      <c r="H1061">
        <v>1918.7182741116751</v>
      </c>
      <c r="O1061" s="15"/>
    </row>
    <row r="1062" spans="4:15">
      <c r="D1062" s="15">
        <v>130250</v>
      </c>
      <c r="E1062">
        <v>2379.2784810126582</v>
      </c>
      <c r="F1062">
        <v>1807.8227848101267</v>
      </c>
      <c r="G1062">
        <v>2372.4050632911394</v>
      </c>
      <c r="H1062">
        <v>1918.7088607594937</v>
      </c>
      <c r="O1062" s="15"/>
    </row>
    <row r="1063" spans="4:15">
      <c r="D1063" s="15">
        <v>130255</v>
      </c>
      <c r="E1063">
        <v>2379.2676767676767</v>
      </c>
      <c r="F1063">
        <v>1807.8156565656566</v>
      </c>
      <c r="G1063">
        <v>2372.4116161616162</v>
      </c>
      <c r="H1063">
        <v>1918.6994949494949</v>
      </c>
      <c r="O1063" s="15"/>
    </row>
    <row r="1064" spans="4:15">
      <c r="D1064" s="15">
        <v>130300</v>
      </c>
      <c r="E1064">
        <v>2379.2443324937026</v>
      </c>
      <c r="F1064">
        <v>1807.8211586901764</v>
      </c>
      <c r="G1064">
        <v>2372.418136020151</v>
      </c>
      <c r="H1064">
        <v>1918.7027707808563</v>
      </c>
      <c r="O1064" s="15"/>
    </row>
    <row r="1065" spans="4:15">
      <c r="D1065" s="15">
        <v>130305</v>
      </c>
      <c r="E1065">
        <v>2379.221105527638</v>
      </c>
      <c r="F1065">
        <v>1807.8140703517588</v>
      </c>
      <c r="G1065">
        <v>2372.424623115578</v>
      </c>
      <c r="H1065">
        <v>1918.6934673366834</v>
      </c>
      <c r="O1065" s="15"/>
    </row>
    <row r="1066" spans="4:15">
      <c r="D1066" s="15">
        <v>130310</v>
      </c>
      <c r="E1066">
        <v>2379.1979949874685</v>
      </c>
      <c r="F1066">
        <v>1807.8195488721803</v>
      </c>
      <c r="G1066">
        <v>2372.4310776942357</v>
      </c>
      <c r="H1066">
        <v>1918.6842105263158</v>
      </c>
      <c r="O1066" s="15"/>
    </row>
    <row r="1067" spans="4:15">
      <c r="D1067" s="15">
        <v>130315</v>
      </c>
      <c r="E1067">
        <v>2379.1750000000002</v>
      </c>
      <c r="F1067">
        <v>1807.8125</v>
      </c>
      <c r="G1067">
        <v>2372.4375</v>
      </c>
      <c r="H1067">
        <v>1918.675</v>
      </c>
      <c r="O1067" s="15"/>
    </row>
    <row r="1068" spans="4:15">
      <c r="D1068" s="15">
        <v>130320</v>
      </c>
      <c r="E1068">
        <v>2379.1521197007482</v>
      </c>
      <c r="F1068">
        <v>1807.8054862842894</v>
      </c>
      <c r="G1068">
        <v>2372.4438902743141</v>
      </c>
      <c r="H1068">
        <v>1918.6783042394015</v>
      </c>
      <c r="O1068" s="15"/>
    </row>
    <row r="1069" spans="4:15">
      <c r="D1069" s="15">
        <v>130325</v>
      </c>
      <c r="E1069">
        <v>2379.1293532338309</v>
      </c>
      <c r="F1069">
        <v>1807.7985074626865</v>
      </c>
      <c r="G1069">
        <v>2372.450248756219</v>
      </c>
      <c r="H1069">
        <v>1918.6691542288556</v>
      </c>
      <c r="O1069" s="15"/>
    </row>
    <row r="1070" spans="4:15">
      <c r="D1070" s="15">
        <v>130330</v>
      </c>
      <c r="E1070">
        <v>2379.106699751861</v>
      </c>
      <c r="F1070">
        <v>1807.7915632754343</v>
      </c>
      <c r="G1070">
        <v>2372.4565756823822</v>
      </c>
      <c r="H1070">
        <v>1918.6600496277915</v>
      </c>
      <c r="O1070" s="15"/>
    </row>
    <row r="1071" spans="4:15">
      <c r="D1071" s="15">
        <v>130335</v>
      </c>
      <c r="E1071">
        <v>2379.0717821782177</v>
      </c>
      <c r="F1071">
        <v>1807.7846534653465</v>
      </c>
      <c r="G1071">
        <v>2372.4628712871286</v>
      </c>
      <c r="H1071">
        <v>1918.65099009901</v>
      </c>
      <c r="O1071" s="15"/>
    </row>
    <row r="1072" spans="4:15">
      <c r="D1072" s="15">
        <v>130340</v>
      </c>
      <c r="E1072">
        <v>2379.037037037037</v>
      </c>
      <c r="F1072">
        <v>1807.7777777777778</v>
      </c>
      <c r="G1072">
        <v>2372.4691358024693</v>
      </c>
      <c r="H1072">
        <v>1918.6543209876543</v>
      </c>
      <c r="O1072" s="15"/>
    </row>
    <row r="1073" spans="4:15">
      <c r="D1073" s="15">
        <v>130345</v>
      </c>
      <c r="E1073">
        <v>2379.0147783251232</v>
      </c>
      <c r="F1073">
        <v>1807.770935960591</v>
      </c>
      <c r="G1073">
        <v>2372.4753694581282</v>
      </c>
      <c r="H1073">
        <v>1918.6453201970444</v>
      </c>
      <c r="O1073" s="15"/>
    </row>
    <row r="1074" spans="4:15">
      <c r="D1074" s="15">
        <v>130350</v>
      </c>
      <c r="E1074">
        <v>2378.9926289926289</v>
      </c>
      <c r="F1074">
        <v>1807.7641277641278</v>
      </c>
      <c r="G1074">
        <v>2372.4692874692873</v>
      </c>
      <c r="H1074">
        <v>1918.6363636363637</v>
      </c>
      <c r="O1074" s="15"/>
    </row>
    <row r="1075" spans="4:15">
      <c r="D1075" s="15">
        <v>130355</v>
      </c>
      <c r="E1075">
        <v>2378.9583333333335</v>
      </c>
      <c r="F1075">
        <v>1807.7573529411766</v>
      </c>
      <c r="G1075">
        <v>2372.4632352941176</v>
      </c>
      <c r="H1075">
        <v>1918.6274509803923</v>
      </c>
      <c r="O1075" s="15"/>
    </row>
    <row r="1076" spans="4:15">
      <c r="D1076" s="15">
        <v>130400</v>
      </c>
      <c r="E1076">
        <v>2378.9242053789731</v>
      </c>
      <c r="F1076">
        <v>1807.7506112469437</v>
      </c>
      <c r="G1076">
        <v>2372.4572127139363</v>
      </c>
      <c r="H1076">
        <v>1918.6308068459657</v>
      </c>
      <c r="O1076" s="15"/>
    </row>
    <row r="1077" spans="4:15">
      <c r="D1077" s="15">
        <v>130405</v>
      </c>
      <c r="E1077">
        <v>2378.8902439024391</v>
      </c>
      <c r="F1077">
        <v>1807.7439024390244</v>
      </c>
      <c r="G1077">
        <v>2372.4512195121952</v>
      </c>
      <c r="H1077">
        <v>1918.6219512195121</v>
      </c>
      <c r="O1077" s="15"/>
    </row>
    <row r="1078" spans="4:15">
      <c r="D1078" s="15">
        <v>130410</v>
      </c>
      <c r="E1078">
        <v>2378.8564476885645</v>
      </c>
      <c r="F1078">
        <v>1807.7372262773722</v>
      </c>
      <c r="G1078">
        <v>2372.4452554744526</v>
      </c>
      <c r="H1078">
        <v>1918.6253041362531</v>
      </c>
      <c r="O1078" s="15"/>
    </row>
    <row r="1079" spans="4:15">
      <c r="D1079" s="15">
        <v>130415</v>
      </c>
      <c r="E1079">
        <v>2378.8349514563106</v>
      </c>
      <c r="F1079">
        <v>1807.7305825242718</v>
      </c>
      <c r="G1079">
        <v>2372.4393203883496</v>
      </c>
      <c r="H1079">
        <v>1918.6165048543689</v>
      </c>
      <c r="O1079" s="15"/>
    </row>
    <row r="1080" spans="4:15">
      <c r="D1080" s="15">
        <v>130420</v>
      </c>
      <c r="E1080">
        <v>2378.8135593220341</v>
      </c>
      <c r="F1080">
        <v>1807.7239709443099</v>
      </c>
      <c r="G1080">
        <v>2372.4334140435835</v>
      </c>
      <c r="H1080">
        <v>1918.6077481840193</v>
      </c>
      <c r="O1080" s="15"/>
    </row>
    <row r="1081" spans="4:15">
      <c r="D1081" s="15">
        <v>130425</v>
      </c>
      <c r="E1081">
        <v>2378.7922705314008</v>
      </c>
      <c r="F1081">
        <v>1807.7173913043478</v>
      </c>
      <c r="G1081">
        <v>2372.427536231884</v>
      </c>
      <c r="H1081">
        <v>1918.5990338164252</v>
      </c>
      <c r="O1081" s="15"/>
    </row>
    <row r="1082" spans="4:15">
      <c r="D1082" s="15">
        <v>130430</v>
      </c>
      <c r="E1082">
        <v>2378.7710843373493</v>
      </c>
      <c r="F1082">
        <v>1807.7108433734941</v>
      </c>
      <c r="G1082">
        <v>2372.4216867469881</v>
      </c>
      <c r="H1082">
        <v>1918.5903614457832</v>
      </c>
      <c r="O1082" s="15"/>
    </row>
    <row r="1083" spans="4:15">
      <c r="D1083" s="15">
        <v>130435</v>
      </c>
      <c r="E1083">
        <v>2378.75</v>
      </c>
      <c r="F1083">
        <v>1807.7043269230769</v>
      </c>
      <c r="G1083">
        <v>2372.4158653846152</v>
      </c>
      <c r="H1083">
        <v>1918.5817307692307</v>
      </c>
      <c r="O1083" s="15"/>
    </row>
    <row r="1084" spans="4:15">
      <c r="D1084" s="15">
        <v>130440</v>
      </c>
      <c r="E1084">
        <v>2378.7290167865708</v>
      </c>
      <c r="F1084">
        <v>1807.6978417266187</v>
      </c>
      <c r="G1084">
        <v>2372.4100719424459</v>
      </c>
      <c r="H1084">
        <v>1918.5731414868105</v>
      </c>
      <c r="O1084" s="15"/>
    </row>
    <row r="1085" spans="4:15">
      <c r="D1085" s="15">
        <v>130445</v>
      </c>
      <c r="E1085">
        <v>2378.7081339712918</v>
      </c>
      <c r="F1085">
        <v>1807.6913875598086</v>
      </c>
      <c r="G1085">
        <v>2372.4043062200958</v>
      </c>
      <c r="H1085">
        <v>1918.5645933014355</v>
      </c>
      <c r="O1085" s="15"/>
    </row>
    <row r="1086" spans="4:15">
      <c r="D1086" s="15">
        <v>130450</v>
      </c>
      <c r="E1086">
        <v>2378.6873508353224</v>
      </c>
      <c r="F1086">
        <v>1807.6849642004772</v>
      </c>
      <c r="G1086">
        <v>2372.3985680190931</v>
      </c>
      <c r="H1086">
        <v>1918.5560859188545</v>
      </c>
      <c r="O1086" s="15"/>
    </row>
    <row r="1087" spans="4:15">
      <c r="D1087" s="15">
        <v>130455</v>
      </c>
      <c r="E1087">
        <v>2378.6666666666665</v>
      </c>
      <c r="F1087">
        <v>1807.6785714285713</v>
      </c>
      <c r="G1087">
        <v>2372.3928571428573</v>
      </c>
      <c r="H1087">
        <v>1918.5595238095239</v>
      </c>
      <c r="O1087" s="15"/>
    </row>
    <row r="1088" spans="4:15">
      <c r="D1088" s="15">
        <v>130500</v>
      </c>
      <c r="E1088">
        <v>2378.6460807600952</v>
      </c>
      <c r="F1088">
        <v>1807.6722090261283</v>
      </c>
      <c r="G1088">
        <v>2372.3871733966744</v>
      </c>
      <c r="H1088">
        <v>1918.5629453681711</v>
      </c>
      <c r="O1088" s="15"/>
    </row>
    <row r="1089" spans="4:15">
      <c r="D1089" s="15">
        <v>130505</v>
      </c>
      <c r="E1089">
        <v>2378.6255924170614</v>
      </c>
      <c r="F1089">
        <v>1807.6658767772512</v>
      </c>
      <c r="G1089">
        <v>2372.3815165876777</v>
      </c>
      <c r="H1089">
        <v>1918.5545023696682</v>
      </c>
      <c r="O1089" s="15"/>
    </row>
    <row r="1090" spans="4:15">
      <c r="D1090" s="15">
        <v>130510</v>
      </c>
      <c r="E1090">
        <v>2378.6052009456266</v>
      </c>
      <c r="F1090">
        <v>1807.6595744680851</v>
      </c>
      <c r="G1090">
        <v>2372.3758865248228</v>
      </c>
      <c r="H1090">
        <v>1918.5460992907801</v>
      </c>
      <c r="O1090" s="15"/>
    </row>
    <row r="1091" spans="4:15">
      <c r="D1091" s="15">
        <v>130515</v>
      </c>
      <c r="E1091">
        <v>2378.5849056603774</v>
      </c>
      <c r="F1091">
        <v>1807.6533018867924</v>
      </c>
      <c r="G1091">
        <v>2372.3702830188681</v>
      </c>
      <c r="H1091">
        <v>1918.5377358490566</v>
      </c>
      <c r="O1091" s="15"/>
    </row>
    <row r="1092" spans="4:15">
      <c r="D1092" s="15">
        <v>130520</v>
      </c>
      <c r="E1092">
        <v>2378.5647058823529</v>
      </c>
      <c r="F1092">
        <v>1807.6470588235295</v>
      </c>
      <c r="G1092">
        <v>2372.3647058823531</v>
      </c>
      <c r="H1092">
        <v>1918.5294117647059</v>
      </c>
      <c r="O1092" s="15"/>
    </row>
    <row r="1093" spans="4:15">
      <c r="D1093" s="15">
        <v>130525</v>
      </c>
      <c r="E1093">
        <v>2378.5446009389671</v>
      </c>
      <c r="F1093">
        <v>1807.6408450704225</v>
      </c>
      <c r="G1093">
        <v>2372.3591549295775</v>
      </c>
      <c r="H1093">
        <v>1918.5211267605634</v>
      </c>
      <c r="O1093" s="15"/>
    </row>
    <row r="1094" spans="4:15">
      <c r="D1094" s="15">
        <v>130530</v>
      </c>
      <c r="E1094">
        <v>2378.5245901639346</v>
      </c>
      <c r="F1094">
        <v>1807.6346604215457</v>
      </c>
      <c r="G1094">
        <v>2372.3536299765806</v>
      </c>
      <c r="H1094">
        <v>1918.5128805620609</v>
      </c>
      <c r="O1094" s="15"/>
    </row>
    <row r="1095" spans="4:15">
      <c r="D1095" s="15">
        <v>130535</v>
      </c>
      <c r="E1095">
        <v>2378.5046728971961</v>
      </c>
      <c r="F1095">
        <v>1807.6401869158879</v>
      </c>
      <c r="G1095">
        <v>2372.3481308411215</v>
      </c>
      <c r="H1095">
        <v>1918.5046728971963</v>
      </c>
      <c r="O1095" s="15"/>
    </row>
    <row r="1096" spans="4:15">
      <c r="D1096" s="15">
        <v>130540</v>
      </c>
      <c r="E1096">
        <v>2378.4848484848485</v>
      </c>
      <c r="F1096">
        <v>1807.6340326340326</v>
      </c>
      <c r="G1096">
        <v>2372.3426573426573</v>
      </c>
      <c r="H1096">
        <v>1918.4965034965035</v>
      </c>
      <c r="O1096" s="15"/>
    </row>
    <row r="1097" spans="4:15">
      <c r="D1097" s="15">
        <v>130545</v>
      </c>
      <c r="E1097">
        <v>2378.4651162790697</v>
      </c>
      <c r="F1097">
        <v>1807.6279069767443</v>
      </c>
      <c r="G1097">
        <v>2372.3372093023254</v>
      </c>
      <c r="H1097">
        <v>1918.4883720930231</v>
      </c>
      <c r="O1097" s="15"/>
    </row>
    <row r="1098" spans="4:15">
      <c r="D1098" s="15">
        <v>130550</v>
      </c>
      <c r="E1098">
        <v>2378.445475638051</v>
      </c>
      <c r="F1098">
        <v>1807.6334106728539</v>
      </c>
      <c r="G1098">
        <v>2372.3317865429235</v>
      </c>
      <c r="H1098">
        <v>1918.491879350348</v>
      </c>
      <c r="O1098" s="15"/>
    </row>
    <row r="1099" spans="4:15">
      <c r="D1099" s="15">
        <v>130555</v>
      </c>
      <c r="E1099">
        <v>2378.4143518518517</v>
      </c>
      <c r="F1099">
        <v>1807.6273148148148</v>
      </c>
      <c r="G1099">
        <v>2372.3263888888887</v>
      </c>
      <c r="H1099">
        <v>1918.4837962962963</v>
      </c>
      <c r="O1099" s="15"/>
    </row>
    <row r="1100" spans="4:15">
      <c r="D1100" s="15">
        <v>130600</v>
      </c>
      <c r="E1100">
        <v>2378.3833718244805</v>
      </c>
      <c r="F1100">
        <v>1807.6212471131639</v>
      </c>
      <c r="G1100">
        <v>2372.3210161662819</v>
      </c>
      <c r="H1100">
        <v>1918.4872979214781</v>
      </c>
      <c r="O1100" s="15"/>
    </row>
    <row r="1101" spans="4:15">
      <c r="D1101" s="15">
        <v>130605</v>
      </c>
      <c r="E1101">
        <v>2378.352534562212</v>
      </c>
      <c r="F1101">
        <v>1807.6152073732719</v>
      </c>
      <c r="G1101">
        <v>2372.3156682027648</v>
      </c>
      <c r="H1101">
        <v>1918.479262672811</v>
      </c>
      <c r="O1101" s="15"/>
    </row>
    <row r="1102" spans="4:15">
      <c r="D1102" s="15">
        <v>130610</v>
      </c>
      <c r="E1102">
        <v>2378.32183908046</v>
      </c>
      <c r="F1102">
        <v>1807.6091954022988</v>
      </c>
      <c r="G1102">
        <v>2372.3103448275861</v>
      </c>
      <c r="H1102">
        <v>1918.471264367816</v>
      </c>
      <c r="O1102" s="15"/>
    </row>
    <row r="1103" spans="4:15">
      <c r="D1103" s="15">
        <v>130615</v>
      </c>
      <c r="E1103">
        <v>2378.2912844036696</v>
      </c>
      <c r="F1103">
        <v>1807.6032110091744</v>
      </c>
      <c r="G1103">
        <v>2372.3050458715597</v>
      </c>
      <c r="H1103">
        <v>1918.4633027522937</v>
      </c>
      <c r="O1103" s="15"/>
    </row>
    <row r="1104" spans="4:15">
      <c r="D1104" s="15">
        <v>130620</v>
      </c>
      <c r="E1104">
        <v>2378.2608695652175</v>
      </c>
      <c r="F1104">
        <v>1807.5972540045766</v>
      </c>
      <c r="G1104">
        <v>2372.2997711670482</v>
      </c>
      <c r="H1104">
        <v>1918.4553775743707</v>
      </c>
      <c r="O1104" s="15"/>
    </row>
    <row r="1105" spans="4:15">
      <c r="D1105" s="15">
        <v>130625</v>
      </c>
      <c r="E1105">
        <v>2378.2305936073058</v>
      </c>
      <c r="F1105">
        <v>1807.5913242009133</v>
      </c>
      <c r="G1105">
        <v>2372.294520547945</v>
      </c>
      <c r="H1105">
        <v>1918.447488584475</v>
      </c>
      <c r="O1105" s="15"/>
    </row>
    <row r="1106" spans="4:15">
      <c r="D1106" s="15">
        <v>130630</v>
      </c>
      <c r="E1106">
        <v>2378.2004555808658</v>
      </c>
      <c r="F1106">
        <v>1807.5854214123008</v>
      </c>
      <c r="G1106">
        <v>2372.2892938496584</v>
      </c>
      <c r="H1106">
        <v>1918.4396355353076</v>
      </c>
      <c r="O1106" s="15"/>
    </row>
    <row r="1107" spans="4:15">
      <c r="D1107" s="15">
        <v>130635</v>
      </c>
      <c r="E1107">
        <v>2378.1704545454545</v>
      </c>
      <c r="F1107">
        <v>1807.5795454545455</v>
      </c>
      <c r="G1107">
        <v>2372.284090909091</v>
      </c>
      <c r="H1107">
        <v>1918.4431818181818</v>
      </c>
      <c r="O1107" s="15"/>
    </row>
    <row r="1108" spans="4:15">
      <c r="D1108" s="15">
        <v>130640</v>
      </c>
      <c r="E1108">
        <v>2378.140589569161</v>
      </c>
      <c r="F1108">
        <v>1807.5736961451248</v>
      </c>
      <c r="G1108">
        <v>2372.278911564626</v>
      </c>
      <c r="H1108">
        <v>1918.4467120181405</v>
      </c>
      <c r="O1108" s="15"/>
    </row>
    <row r="1109" spans="4:15">
      <c r="D1109" s="15">
        <v>130645</v>
      </c>
      <c r="E1109">
        <v>2378.1221719457012</v>
      </c>
      <c r="F1109">
        <v>1807.5678733031675</v>
      </c>
      <c r="G1109">
        <v>2372.2737556561087</v>
      </c>
      <c r="H1109">
        <v>1918.4389140271494</v>
      </c>
      <c r="O1109" s="15"/>
    </row>
    <row r="1110" spans="4:15">
      <c r="D1110" s="15">
        <v>130650</v>
      </c>
      <c r="E1110">
        <v>2378.1038374717832</v>
      </c>
      <c r="F1110">
        <v>1807.5620767494356</v>
      </c>
      <c r="G1110">
        <v>2372.2686230248305</v>
      </c>
      <c r="H1110">
        <v>1918.431151241535</v>
      </c>
      <c r="O1110" s="15"/>
    </row>
    <row r="1111" spans="4:15">
      <c r="D1111" s="15">
        <v>130655</v>
      </c>
      <c r="E1111">
        <v>2378.0855855855857</v>
      </c>
      <c r="F1111">
        <v>1807.5563063063064</v>
      </c>
      <c r="G1111">
        <v>2372.2635135135133</v>
      </c>
      <c r="H1111">
        <v>1918.4346846846847</v>
      </c>
      <c r="O1111" s="15"/>
    </row>
    <row r="1112" spans="4:15">
      <c r="D1112" s="15">
        <v>130700</v>
      </c>
      <c r="E1112">
        <v>2378.067415730337</v>
      </c>
      <c r="F1112">
        <v>1807.5505617977528</v>
      </c>
      <c r="G1112">
        <v>2372.2584269662921</v>
      </c>
      <c r="H1112">
        <v>1918.4382022471909</v>
      </c>
      <c r="O1112" s="15"/>
    </row>
    <row r="1113" spans="4:15">
      <c r="D1113" s="15">
        <v>130705</v>
      </c>
      <c r="E1113">
        <v>2378.0493273542602</v>
      </c>
      <c r="F1113">
        <v>1807.5448430493273</v>
      </c>
      <c r="G1113">
        <v>2372.2533632286995</v>
      </c>
      <c r="H1113">
        <v>1918.4417040358744</v>
      </c>
      <c r="O1113" s="15"/>
    </row>
    <row r="1114" spans="4:15">
      <c r="D1114" s="15">
        <v>130710</v>
      </c>
      <c r="E1114">
        <v>2378.0313199105144</v>
      </c>
      <c r="F1114">
        <v>1807.5391498881431</v>
      </c>
      <c r="G1114">
        <v>2372.2483221476509</v>
      </c>
      <c r="H1114">
        <v>1918.434004474273</v>
      </c>
      <c r="O1114" s="15"/>
    </row>
    <row r="1115" spans="4:15">
      <c r="D1115" s="15">
        <v>130715</v>
      </c>
      <c r="E1115">
        <v>2378.0133928571427</v>
      </c>
      <c r="F1115">
        <v>1807.5334821428571</v>
      </c>
      <c r="G1115">
        <v>2372.2321428571427</v>
      </c>
      <c r="H1115">
        <v>1918.4263392857142</v>
      </c>
      <c r="O1115" s="15"/>
    </row>
    <row r="1116" spans="4:15">
      <c r="D1116" s="15">
        <v>130720</v>
      </c>
      <c r="E1116">
        <v>2377.9955456570156</v>
      </c>
      <c r="F1116">
        <v>1807.5278396436527</v>
      </c>
      <c r="G1116">
        <v>2372.216035634744</v>
      </c>
      <c r="H1116">
        <v>1918.4298440979956</v>
      </c>
      <c r="O1116" s="15"/>
    </row>
    <row r="1117" spans="4:15">
      <c r="D1117" s="15">
        <v>130725</v>
      </c>
      <c r="E1117">
        <v>2377.9777777777776</v>
      </c>
      <c r="F1117">
        <v>1807.5222222222221</v>
      </c>
      <c r="G1117">
        <v>2372.1999999999998</v>
      </c>
      <c r="H1117">
        <v>1918.4222222222222</v>
      </c>
      <c r="O1117" s="15"/>
    </row>
    <row r="1118" spans="4:15">
      <c r="D1118" s="15">
        <v>130730</v>
      </c>
      <c r="E1118">
        <v>2377.960088691796</v>
      </c>
      <c r="F1118">
        <v>1807.5166297117516</v>
      </c>
      <c r="G1118">
        <v>2372.1840354767182</v>
      </c>
      <c r="H1118">
        <v>1918.4146341463415</v>
      </c>
      <c r="O1118" s="15"/>
    </row>
    <row r="1119" spans="4:15">
      <c r="D1119" s="15">
        <v>130735</v>
      </c>
      <c r="E1119">
        <v>2377.9424778761063</v>
      </c>
      <c r="F1119">
        <v>1807.5110619469026</v>
      </c>
      <c r="G1119">
        <v>2372.179203539823</v>
      </c>
      <c r="H1119">
        <v>1918.4070796460178</v>
      </c>
      <c r="O1119" s="15"/>
    </row>
    <row r="1120" spans="4:15">
      <c r="D1120" s="15">
        <v>130740</v>
      </c>
      <c r="E1120">
        <v>2377.9249448123619</v>
      </c>
      <c r="F1120">
        <v>1807.505518763797</v>
      </c>
      <c r="G1120">
        <v>2372.1743929359823</v>
      </c>
      <c r="H1120">
        <v>1918.3995584988963</v>
      </c>
      <c r="O1120" s="15"/>
    </row>
    <row r="1121" spans="4:15">
      <c r="D1121" s="15">
        <v>130745</v>
      </c>
      <c r="E1121">
        <v>2377.9074889867843</v>
      </c>
      <c r="F1121">
        <v>1807.5</v>
      </c>
      <c r="G1121">
        <v>2372.1696035242289</v>
      </c>
      <c r="H1121">
        <v>1918.3920704845816</v>
      </c>
      <c r="O1121" s="15"/>
    </row>
    <row r="1122" spans="4:15">
      <c r="D1122" s="15">
        <v>130750</v>
      </c>
      <c r="E1122">
        <v>2377.8901098901097</v>
      </c>
      <c r="F1122">
        <v>1807.4945054945056</v>
      </c>
      <c r="G1122">
        <v>2372.164835164835</v>
      </c>
      <c r="H1122">
        <v>1918.3846153846155</v>
      </c>
      <c r="O1122" s="15"/>
    </row>
    <row r="1123" spans="4:15">
      <c r="D1123" s="15">
        <v>130755</v>
      </c>
      <c r="E1123">
        <v>2377.8728070175439</v>
      </c>
      <c r="F1123">
        <v>1807.4890350877192</v>
      </c>
      <c r="G1123">
        <v>2372.1600877192982</v>
      </c>
      <c r="H1123">
        <v>1918.3771929824561</v>
      </c>
      <c r="O1123" s="15"/>
    </row>
    <row r="1124" spans="4:15">
      <c r="D1124" s="15">
        <v>130800</v>
      </c>
      <c r="E1124">
        <v>2377.8555798687089</v>
      </c>
      <c r="F1124">
        <v>1807.4835886214441</v>
      </c>
      <c r="G1124">
        <v>2372.1553610503283</v>
      </c>
      <c r="H1124">
        <v>1918.3698030634573</v>
      </c>
      <c r="O1124" s="15"/>
    </row>
    <row r="1125" spans="4:15">
      <c r="D1125" s="15">
        <v>130805</v>
      </c>
      <c r="E1125">
        <v>2377.8384279475981</v>
      </c>
      <c r="F1125">
        <v>1807.4781659388645</v>
      </c>
      <c r="G1125">
        <v>2372.1506550218342</v>
      </c>
      <c r="H1125">
        <v>1918.3515283842794</v>
      </c>
      <c r="O1125" s="15"/>
    </row>
    <row r="1126" spans="4:15">
      <c r="D1126" s="15">
        <v>130810</v>
      </c>
      <c r="E1126">
        <v>2377.8213507625273</v>
      </c>
      <c r="F1126">
        <v>1807.4727668845317</v>
      </c>
      <c r="G1126">
        <v>2372.1459694989107</v>
      </c>
      <c r="H1126">
        <v>1918.3333333333333</v>
      </c>
      <c r="O1126" s="15"/>
    </row>
    <row r="1127" spans="4:15">
      <c r="D1127" s="15">
        <v>130815</v>
      </c>
      <c r="E1127">
        <v>2377.804347826087</v>
      </c>
      <c r="F1127">
        <v>1807.4673913043478</v>
      </c>
      <c r="G1127">
        <v>2372.141304347826</v>
      </c>
      <c r="H1127">
        <v>1918.3152173913043</v>
      </c>
      <c r="O1127" s="15"/>
    </row>
    <row r="1128" spans="4:15">
      <c r="D1128" s="15">
        <v>130820</v>
      </c>
      <c r="E1128">
        <v>2377.7874186550976</v>
      </c>
      <c r="F1128">
        <v>1807.4620390455532</v>
      </c>
      <c r="G1128">
        <v>2372.1366594360088</v>
      </c>
      <c r="H1128">
        <v>1918.2971800433841</v>
      </c>
      <c r="O1128" s="15"/>
    </row>
    <row r="1129" spans="4:15">
      <c r="D1129" s="15">
        <v>130825</v>
      </c>
      <c r="E1129">
        <v>2377.7705627705627</v>
      </c>
      <c r="F1129">
        <v>1807.45670995671</v>
      </c>
      <c r="G1129">
        <v>2372.1320346320344</v>
      </c>
      <c r="H1129">
        <v>1918.2792207792209</v>
      </c>
      <c r="O1129" s="15"/>
    </row>
    <row r="1130" spans="4:15">
      <c r="D1130" s="15">
        <v>130830</v>
      </c>
      <c r="E1130">
        <v>2377.7537796976244</v>
      </c>
      <c r="F1130">
        <v>1807.4514038876889</v>
      </c>
      <c r="G1130">
        <v>2372.1274298056155</v>
      </c>
      <c r="H1130">
        <v>1918.2613390928725</v>
      </c>
      <c r="O1130" s="15"/>
    </row>
    <row r="1131" spans="4:15">
      <c r="D1131" s="15">
        <v>130835</v>
      </c>
      <c r="E1131">
        <v>2377.7370689655172</v>
      </c>
      <c r="F1131">
        <v>1807.4461206896551</v>
      </c>
      <c r="G1131">
        <v>2372.1228448275861</v>
      </c>
      <c r="H1131">
        <v>1918.2435344827586</v>
      </c>
      <c r="O1131" s="15"/>
    </row>
    <row r="1132" spans="4:15">
      <c r="D1132" s="15">
        <v>130840</v>
      </c>
      <c r="E1132">
        <v>2377.7204301075267</v>
      </c>
      <c r="F1132">
        <v>1807.4408602150538</v>
      </c>
      <c r="G1132">
        <v>2372.1182795698924</v>
      </c>
      <c r="H1132">
        <v>1918.2258064516129</v>
      </c>
      <c r="O1132" s="15"/>
    </row>
    <row r="1133" spans="4:15">
      <c r="D1133" s="15">
        <v>130845</v>
      </c>
      <c r="E1133">
        <v>2377.7038626609442</v>
      </c>
      <c r="F1133">
        <v>1807.4356223175967</v>
      </c>
      <c r="G1133">
        <v>2372.1137339055795</v>
      </c>
      <c r="H1133">
        <v>1918.2081545064377</v>
      </c>
      <c r="O1133" s="15"/>
    </row>
    <row r="1134" spans="4:15">
      <c r="D1134" s="15">
        <v>130850</v>
      </c>
      <c r="E1134">
        <v>2377.6873661670234</v>
      </c>
      <c r="F1134">
        <v>1807.4304068522483</v>
      </c>
      <c r="G1134">
        <v>2372.1092077087796</v>
      </c>
      <c r="H1134">
        <v>1918.1905781584583</v>
      </c>
      <c r="O1134" s="15"/>
    </row>
    <row r="1135" spans="4:15">
      <c r="D1135" s="15">
        <v>130855</v>
      </c>
      <c r="E1135">
        <v>2377.6602564102564</v>
      </c>
      <c r="F1135">
        <v>1807.4252136752136</v>
      </c>
      <c r="G1135">
        <v>2372.0940170940171</v>
      </c>
      <c r="H1135">
        <v>1918.1730769230769</v>
      </c>
      <c r="O1135" s="15"/>
    </row>
    <row r="1136" spans="4:15">
      <c r="D1136" s="15">
        <v>130900</v>
      </c>
      <c r="E1136">
        <v>2377.633262260128</v>
      </c>
      <c r="F1136">
        <v>1807.4200426439234</v>
      </c>
      <c r="G1136">
        <v>2372.0788912579956</v>
      </c>
      <c r="H1136">
        <v>1918.1663113006396</v>
      </c>
      <c r="O1136" s="15"/>
    </row>
    <row r="1137" spans="4:15">
      <c r="D1137" s="15">
        <v>130905</v>
      </c>
      <c r="E1137">
        <v>2377.6063829787236</v>
      </c>
      <c r="F1137">
        <v>1807.4148936170213</v>
      </c>
      <c r="G1137">
        <v>2372.0638297872342</v>
      </c>
      <c r="H1137">
        <v>1918.1595744680851</v>
      </c>
      <c r="O1137" s="15"/>
    </row>
    <row r="1138" spans="4:15">
      <c r="D1138" s="15">
        <v>130910</v>
      </c>
      <c r="E1138">
        <v>2377.5796178343949</v>
      </c>
      <c r="F1138">
        <v>1807.3991507430999</v>
      </c>
      <c r="G1138">
        <v>2372.0488322717624</v>
      </c>
      <c r="H1138">
        <v>1918.1422505307855</v>
      </c>
      <c r="O1138" s="15"/>
    </row>
    <row r="1139" spans="4:15">
      <c r="D1139" s="15">
        <v>130915</v>
      </c>
      <c r="E1139">
        <v>2377.5529661016949</v>
      </c>
      <c r="F1139">
        <v>1807.3834745762713</v>
      </c>
      <c r="G1139">
        <v>2372.0338983050847</v>
      </c>
      <c r="H1139">
        <v>1918.125</v>
      </c>
      <c r="O1139" s="15"/>
    </row>
    <row r="1140" spans="4:15">
      <c r="D1140" s="15">
        <v>130920</v>
      </c>
      <c r="E1140">
        <v>2377.5264270613106</v>
      </c>
      <c r="F1140">
        <v>1807.3784355179705</v>
      </c>
      <c r="G1140">
        <v>2372.0190274841439</v>
      </c>
      <c r="H1140">
        <v>1918.1078224101479</v>
      </c>
      <c r="O1140" s="15"/>
    </row>
    <row r="1141" spans="4:15">
      <c r="D1141" s="15">
        <v>130925</v>
      </c>
      <c r="E1141">
        <v>2377.5</v>
      </c>
      <c r="F1141">
        <v>1807.3628691983122</v>
      </c>
      <c r="G1141">
        <v>2372.0042194092825</v>
      </c>
      <c r="H1141">
        <v>1918.090717299578</v>
      </c>
      <c r="O1141" s="15"/>
    </row>
    <row r="1142" spans="4:15">
      <c r="D1142" s="15">
        <v>130930</v>
      </c>
      <c r="E1142">
        <v>2377.4736842105262</v>
      </c>
      <c r="F1142">
        <v>1807.3473684210526</v>
      </c>
      <c r="G1142">
        <v>2371.9894736842107</v>
      </c>
      <c r="H1142">
        <v>1918.0736842105264</v>
      </c>
      <c r="O1142" s="15"/>
    </row>
    <row r="1143" spans="4:15">
      <c r="D1143" s="15">
        <v>130935</v>
      </c>
      <c r="E1143">
        <v>2377.4474789915967</v>
      </c>
      <c r="F1143">
        <v>1807.3319327731092</v>
      </c>
      <c r="G1143">
        <v>2371.9747899159665</v>
      </c>
      <c r="H1143">
        <v>1918.0567226890757</v>
      </c>
      <c r="O1143" s="15"/>
    </row>
    <row r="1144" spans="4:15">
      <c r="D1144" s="15">
        <v>130940</v>
      </c>
      <c r="E1144">
        <v>2377.4318658280922</v>
      </c>
      <c r="F1144">
        <v>1807.3165618448638</v>
      </c>
      <c r="G1144">
        <v>2371.9601677148848</v>
      </c>
      <c r="H1144">
        <v>1918.0398322851154</v>
      </c>
      <c r="O1144" s="15"/>
    </row>
    <row r="1145" spans="4:15">
      <c r="D1145" s="15">
        <v>130945</v>
      </c>
      <c r="E1145">
        <v>2377.4163179916318</v>
      </c>
      <c r="F1145">
        <v>1807.3012552301254</v>
      </c>
      <c r="G1145">
        <v>2371.9456066945609</v>
      </c>
      <c r="H1145">
        <v>1918.0230125523012</v>
      </c>
      <c r="O1145" s="15"/>
    </row>
    <row r="1146" spans="4:15">
      <c r="D1146" s="15">
        <v>130950</v>
      </c>
      <c r="E1146">
        <v>2377.4008350730687</v>
      </c>
      <c r="F1146">
        <v>1807.2860125260961</v>
      </c>
      <c r="G1146">
        <v>2371.9206680584552</v>
      </c>
      <c r="H1146">
        <v>1918.0062630480168</v>
      </c>
      <c r="O1146" s="15"/>
    </row>
    <row r="1147" spans="4:15">
      <c r="D1147" s="15">
        <v>130955</v>
      </c>
      <c r="E1147">
        <v>2377.3854166666665</v>
      </c>
      <c r="F1147">
        <v>1807.28125</v>
      </c>
      <c r="G1147">
        <v>2371.8958333333335</v>
      </c>
      <c r="H1147">
        <v>1917.9895833333333</v>
      </c>
      <c r="O1147" s="15"/>
    </row>
    <row r="1148" spans="4:15">
      <c r="D1148" s="15">
        <v>131000</v>
      </c>
      <c r="E1148">
        <v>2377.3700623700624</v>
      </c>
      <c r="F1148">
        <v>1807.2661122661123</v>
      </c>
      <c r="G1148">
        <v>2371.8711018711019</v>
      </c>
      <c r="H1148">
        <v>1917.9729729729729</v>
      </c>
      <c r="O1148" s="15"/>
    </row>
    <row r="1149" spans="4:15">
      <c r="D1149" s="15">
        <v>131005</v>
      </c>
      <c r="E1149">
        <v>2377.3547717842325</v>
      </c>
      <c r="F1149">
        <v>1807.2614107883817</v>
      </c>
      <c r="G1149">
        <v>2371.8568464730292</v>
      </c>
      <c r="H1149">
        <v>1917.9564315352698</v>
      </c>
      <c r="O1149" s="15"/>
    </row>
    <row r="1150" spans="4:15">
      <c r="D1150" s="15">
        <v>131010</v>
      </c>
      <c r="E1150">
        <v>2377.3395445134574</v>
      </c>
      <c r="F1150">
        <v>1807.256728778468</v>
      </c>
      <c r="G1150">
        <v>2371.8322981366459</v>
      </c>
      <c r="H1150">
        <v>1917.9399585921326</v>
      </c>
      <c r="O1150" s="15"/>
    </row>
    <row r="1151" spans="4:15">
      <c r="D1151" s="15">
        <v>131015</v>
      </c>
      <c r="E1151">
        <v>2377.3140495867769</v>
      </c>
      <c r="F1151">
        <v>1807.2417355371902</v>
      </c>
      <c r="G1151">
        <v>2371.7975206611573</v>
      </c>
      <c r="H1151">
        <v>1917.9235537190082</v>
      </c>
      <c r="O1151" s="15"/>
    </row>
    <row r="1152" spans="4:15">
      <c r="D1152" s="15">
        <v>131020</v>
      </c>
      <c r="E1152">
        <v>2377.2886597938145</v>
      </c>
      <c r="F1152">
        <v>1807.2268041237114</v>
      </c>
      <c r="G1152">
        <v>2371.7628865979382</v>
      </c>
      <c r="H1152">
        <v>1917.9072164948454</v>
      </c>
      <c r="O1152" s="15"/>
    </row>
    <row r="1153" spans="4:15">
      <c r="D1153" s="15">
        <v>131025</v>
      </c>
      <c r="E1153">
        <v>2377.2633744855966</v>
      </c>
      <c r="F1153">
        <v>1807.2119341563787</v>
      </c>
      <c r="G1153">
        <v>2371.7283950617284</v>
      </c>
      <c r="H1153">
        <v>1917.8909465020577</v>
      </c>
      <c r="O1153" s="15"/>
    </row>
    <row r="1154" spans="4:15">
      <c r="D1154" s="15">
        <v>131030</v>
      </c>
      <c r="E1154">
        <v>2377.2381930184806</v>
      </c>
      <c r="F1154">
        <v>1807.1971252566734</v>
      </c>
      <c r="G1154">
        <v>2371.6940451745381</v>
      </c>
      <c r="H1154">
        <v>1917.8747433264887</v>
      </c>
      <c r="O1154" s="15"/>
    </row>
    <row r="1155" spans="4:15">
      <c r="D1155" s="15">
        <v>131035</v>
      </c>
      <c r="E1155">
        <v>2377.2131147540986</v>
      </c>
      <c r="F1155">
        <v>1807.1926229508197</v>
      </c>
      <c r="G1155">
        <v>2371.6598360655739</v>
      </c>
      <c r="H1155">
        <v>1917.858606557377</v>
      </c>
      <c r="O1155" s="15"/>
    </row>
    <row r="1156" spans="4:15">
      <c r="D1156" s="15">
        <v>131040</v>
      </c>
      <c r="E1156">
        <v>2377.1983640081799</v>
      </c>
      <c r="F1156">
        <v>1807.1779141104294</v>
      </c>
      <c r="G1156">
        <v>2371.6257668711655</v>
      </c>
      <c r="H1156">
        <v>1917.8425357873211</v>
      </c>
      <c r="O1156" s="15"/>
    </row>
    <row r="1157" spans="4:15">
      <c r="D1157" s="15">
        <v>131045</v>
      </c>
      <c r="E1157">
        <v>2377.1734693877552</v>
      </c>
      <c r="F1157">
        <v>1807.1632653061224</v>
      </c>
      <c r="G1157">
        <v>2371.5816326530612</v>
      </c>
      <c r="H1157">
        <v>1917.8265306122448</v>
      </c>
      <c r="O1157" s="15"/>
    </row>
    <row r="1158" spans="4:15">
      <c r="D1158" s="15">
        <v>131050</v>
      </c>
      <c r="E1158">
        <v>2377.1486761710794</v>
      </c>
      <c r="F1158">
        <v>1807.1486761710794</v>
      </c>
      <c r="G1158">
        <v>2371.5274949083505</v>
      </c>
      <c r="H1158">
        <v>1917.8105906313647</v>
      </c>
      <c r="O1158" s="15"/>
    </row>
    <row r="1159" spans="4:15">
      <c r="D1159" s="15">
        <v>131055</v>
      </c>
      <c r="E1159">
        <v>2377.1239837398375</v>
      </c>
      <c r="F1159">
        <v>1807.1341463414635</v>
      </c>
      <c r="G1159">
        <v>2371.4735772357722</v>
      </c>
      <c r="H1159">
        <v>1917.7947154471544</v>
      </c>
      <c r="O1159" s="15"/>
    </row>
    <row r="1160" spans="4:15">
      <c r="D1160" s="15">
        <v>131100</v>
      </c>
      <c r="E1160">
        <v>2377.0993914807304</v>
      </c>
      <c r="F1160">
        <v>1807.1196754563894</v>
      </c>
      <c r="G1160">
        <v>2371.4198782961462</v>
      </c>
      <c r="H1160">
        <v>1917.7789046653145</v>
      </c>
      <c r="O1160" s="15"/>
    </row>
    <row r="1161" spans="4:15">
      <c r="D1161" s="15">
        <v>131105</v>
      </c>
      <c r="E1161">
        <v>2377.0748987854249</v>
      </c>
      <c r="F1161">
        <v>1807.1052631578948</v>
      </c>
      <c r="G1161">
        <v>2371.3663967611337</v>
      </c>
      <c r="H1161">
        <v>1917.7631578947369</v>
      </c>
      <c r="O1161" s="15"/>
    </row>
    <row r="1162" spans="4:15">
      <c r="D1162" s="15">
        <v>131110</v>
      </c>
      <c r="E1162">
        <v>2377.0505050505049</v>
      </c>
      <c r="F1162">
        <v>1807.090909090909</v>
      </c>
      <c r="G1162">
        <v>2371.3131313131312</v>
      </c>
      <c r="H1162">
        <v>1917.7474747474748</v>
      </c>
      <c r="O1162" s="15"/>
    </row>
    <row r="1163" spans="4:15">
      <c r="D1163" s="15">
        <v>131115</v>
      </c>
      <c r="E1163">
        <v>2377.0262096774195</v>
      </c>
      <c r="F1163">
        <v>1807.0766129032259</v>
      </c>
      <c r="G1163">
        <v>2371.2600806451615</v>
      </c>
      <c r="H1163">
        <v>1917.741935483871</v>
      </c>
      <c r="O1163" s="15"/>
    </row>
    <row r="1164" spans="4:15">
      <c r="D1164" s="15">
        <v>131120</v>
      </c>
      <c r="E1164">
        <v>2377.0020120724348</v>
      </c>
      <c r="F1164">
        <v>1807.0623742454729</v>
      </c>
      <c r="G1164">
        <v>2371.2072434607644</v>
      </c>
      <c r="H1164">
        <v>1917.7263581488933</v>
      </c>
      <c r="O1164" s="15"/>
    </row>
    <row r="1165" spans="4:15">
      <c r="D1165" s="15">
        <v>131125</v>
      </c>
      <c r="E1165">
        <v>2376.9779116465866</v>
      </c>
      <c r="F1165">
        <v>1807.0481927710844</v>
      </c>
      <c r="G1165">
        <v>2371.1546184738954</v>
      </c>
      <c r="H1165">
        <v>1917.7108433734941</v>
      </c>
      <c r="O1165" s="15"/>
    </row>
    <row r="1166" spans="4:15">
      <c r="D1166" s="15">
        <v>131130</v>
      </c>
      <c r="E1166">
        <v>2376.9539078156313</v>
      </c>
      <c r="F1166">
        <v>1807.0340681362725</v>
      </c>
      <c r="G1166">
        <v>2371.1022044088177</v>
      </c>
      <c r="H1166">
        <v>1917.6953907815632</v>
      </c>
      <c r="O1166" s="15"/>
    </row>
    <row r="1167" spans="4:15">
      <c r="D1167" s="15">
        <v>131135</v>
      </c>
      <c r="E1167">
        <v>2376.9299999999998</v>
      </c>
      <c r="F1167">
        <v>1807.02</v>
      </c>
      <c r="G1167">
        <v>2371.0500000000002</v>
      </c>
      <c r="H1167">
        <v>1917.68</v>
      </c>
      <c r="O1167" s="15"/>
    </row>
    <row r="1168" spans="4:15">
      <c r="D1168" s="15">
        <v>131140</v>
      </c>
      <c r="E1168">
        <v>2376.9061876247506</v>
      </c>
      <c r="F1168">
        <v>1807.0159680638722</v>
      </c>
      <c r="G1168">
        <v>2370.998003992016</v>
      </c>
      <c r="H1168">
        <v>1917.6646706586826</v>
      </c>
      <c r="O1168" s="15"/>
    </row>
    <row r="1169" spans="4:15">
      <c r="D1169" s="15">
        <v>131145</v>
      </c>
      <c r="E1169">
        <v>2376.8824701195217</v>
      </c>
      <c r="F1169">
        <v>1807.0019920318725</v>
      </c>
      <c r="G1169">
        <v>2370.9462151394423</v>
      </c>
      <c r="H1169">
        <v>1917.6494023904384</v>
      </c>
      <c r="O1169" s="15"/>
    </row>
    <row r="1170" spans="4:15">
      <c r="D1170" s="15">
        <v>131150</v>
      </c>
      <c r="E1170">
        <v>2376.8588469184892</v>
      </c>
      <c r="F1170">
        <v>1806.9880715705765</v>
      </c>
      <c r="G1170">
        <v>2370.8946322067595</v>
      </c>
      <c r="H1170">
        <v>1917.6341948310139</v>
      </c>
      <c r="O1170" s="15"/>
    </row>
    <row r="1171" spans="4:15">
      <c r="D1171" s="15">
        <v>131155</v>
      </c>
      <c r="E1171">
        <v>2376.8353174603176</v>
      </c>
      <c r="F1171">
        <v>1806.9742063492063</v>
      </c>
      <c r="G1171">
        <v>2370.843253968254</v>
      </c>
      <c r="H1171">
        <v>1917.6190476190477</v>
      </c>
      <c r="O1171" s="15"/>
    </row>
    <row r="1172" spans="4:15">
      <c r="D1172" s="15">
        <v>131200</v>
      </c>
      <c r="E1172">
        <v>2376.8118811881186</v>
      </c>
      <c r="F1172">
        <v>1806.9603960396039</v>
      </c>
      <c r="G1172">
        <v>2370.7920792079208</v>
      </c>
      <c r="H1172">
        <v>1917.6138613861385</v>
      </c>
      <c r="O1172" s="15"/>
    </row>
    <row r="1173" spans="4:15">
      <c r="D1173" s="15">
        <v>131205</v>
      </c>
      <c r="E1173">
        <v>2376.788537549407</v>
      </c>
      <c r="F1173">
        <v>1806.9466403162055</v>
      </c>
      <c r="G1173">
        <v>2370.7411067193675</v>
      </c>
      <c r="H1173">
        <v>1917.598814229249</v>
      </c>
      <c r="O1173" s="15"/>
    </row>
    <row r="1174" spans="4:15">
      <c r="D1174" s="15">
        <v>131210</v>
      </c>
      <c r="E1174">
        <v>2376.7652859960554</v>
      </c>
      <c r="F1174">
        <v>1806.9329388560159</v>
      </c>
      <c r="G1174">
        <v>2370.6903353057201</v>
      </c>
      <c r="H1174">
        <v>1917.5838264299803</v>
      </c>
      <c r="O1174" s="15"/>
    </row>
    <row r="1175" spans="4:15">
      <c r="D1175" s="15">
        <v>131215</v>
      </c>
      <c r="E1175">
        <v>2376.7421259842517</v>
      </c>
      <c r="F1175">
        <v>1806.9192913385828</v>
      </c>
      <c r="G1175">
        <v>2370.6496062992128</v>
      </c>
      <c r="H1175">
        <v>1917.5787401574803</v>
      </c>
      <c r="O1175" s="15"/>
    </row>
    <row r="1176" spans="4:15">
      <c r="D1176" s="15">
        <v>131220</v>
      </c>
      <c r="E1176">
        <v>2376.7190569744598</v>
      </c>
      <c r="F1176">
        <v>1806.9056974459725</v>
      </c>
      <c r="G1176">
        <v>2370.6090373280945</v>
      </c>
      <c r="H1176">
        <v>1917.5638506876228</v>
      </c>
      <c r="O1176" s="15"/>
    </row>
    <row r="1177" spans="4:15">
      <c r="D1177" s="15">
        <v>131225</v>
      </c>
      <c r="E1177">
        <v>2376.705882352941</v>
      </c>
      <c r="F1177">
        <v>1806.8921568627452</v>
      </c>
      <c r="G1177">
        <v>2370.5882352941176</v>
      </c>
      <c r="H1177">
        <v>1917.5490196078431</v>
      </c>
      <c r="O1177" s="15"/>
    </row>
    <row r="1178" spans="4:15">
      <c r="D1178" s="15">
        <v>131230</v>
      </c>
      <c r="E1178">
        <v>2376.6927592954989</v>
      </c>
      <c r="F1178">
        <v>1806.8786692759295</v>
      </c>
      <c r="G1178">
        <v>2370.5675146771036</v>
      </c>
      <c r="H1178">
        <v>1917.5342465753424</v>
      </c>
      <c r="O1178" s="15"/>
    </row>
    <row r="1179" spans="4:15">
      <c r="D1179" s="15">
        <v>131235</v>
      </c>
      <c r="E1179">
        <v>2376.6796875</v>
      </c>
      <c r="F1179">
        <v>1806.875</v>
      </c>
      <c r="G1179">
        <v>2370.52734375</v>
      </c>
      <c r="H1179">
        <v>1917.51953125</v>
      </c>
      <c r="O1179" s="15"/>
    </row>
    <row r="1180" spans="4:15">
      <c r="D1180" s="15">
        <v>131240</v>
      </c>
      <c r="E1180">
        <v>2376.6666666666665</v>
      </c>
      <c r="F1180">
        <v>1806.8713450292398</v>
      </c>
      <c r="G1180">
        <v>2370.487329434698</v>
      </c>
      <c r="H1180">
        <v>1917.5048732943469</v>
      </c>
      <c r="O1180" s="15"/>
    </row>
    <row r="1181" spans="4:15">
      <c r="D1181" s="15">
        <v>131245</v>
      </c>
      <c r="E1181">
        <v>2376.6439688715955</v>
      </c>
      <c r="F1181">
        <v>1806.8677042801557</v>
      </c>
      <c r="G1181">
        <v>2370.4474708171206</v>
      </c>
      <c r="H1181">
        <v>1917.4902723735408</v>
      </c>
      <c r="O1181" s="15"/>
    </row>
    <row r="1182" spans="4:15">
      <c r="D1182" s="15">
        <v>131250</v>
      </c>
      <c r="E1182">
        <v>2376.6213592233012</v>
      </c>
      <c r="F1182">
        <v>1806.8543689320388</v>
      </c>
      <c r="G1182">
        <v>2370.4077669902913</v>
      </c>
      <c r="H1182">
        <v>1917.4757281553398</v>
      </c>
      <c r="O1182" s="15"/>
    </row>
    <row r="1183" spans="4:15">
      <c r="D1183" s="15">
        <v>131255</v>
      </c>
      <c r="E1183">
        <v>2376.5988372093025</v>
      </c>
      <c r="F1183">
        <v>1806.8507751937984</v>
      </c>
      <c r="G1183">
        <v>2370.3682170542634</v>
      </c>
      <c r="H1183">
        <v>1917.4612403100775</v>
      </c>
      <c r="O1183" s="15"/>
    </row>
    <row r="1184" spans="4:15">
      <c r="D1184" s="15">
        <v>131300</v>
      </c>
      <c r="E1184">
        <v>2376.5764023210832</v>
      </c>
      <c r="F1184">
        <v>1806.8471953578337</v>
      </c>
      <c r="G1184">
        <v>2370.328820116054</v>
      </c>
      <c r="H1184">
        <v>1917.4468085106382</v>
      </c>
      <c r="O1184" s="15"/>
    </row>
    <row r="1185" spans="4:15">
      <c r="D1185" s="15">
        <v>131305</v>
      </c>
      <c r="E1185">
        <v>2376.5540540540542</v>
      </c>
      <c r="F1185">
        <v>1806.8339768339767</v>
      </c>
      <c r="G1185">
        <v>2370.2895752895752</v>
      </c>
      <c r="H1185">
        <v>1917.4227799227799</v>
      </c>
      <c r="O1185" s="15"/>
    </row>
    <row r="1186" spans="4:15">
      <c r="D1186" s="15">
        <v>131310</v>
      </c>
      <c r="E1186">
        <v>2376.5414258188825</v>
      </c>
      <c r="F1186">
        <v>1806.820809248555</v>
      </c>
      <c r="G1186">
        <v>2370.2601156069363</v>
      </c>
      <c r="H1186">
        <v>1917.4084778420038</v>
      </c>
      <c r="O1186" s="15"/>
    </row>
    <row r="1187" spans="4:15">
      <c r="D1187" s="15">
        <v>131315</v>
      </c>
      <c r="E1187">
        <v>2376.5288461538462</v>
      </c>
      <c r="F1187">
        <v>1806.8076923076924</v>
      </c>
      <c r="G1187">
        <v>2370.2307692307691</v>
      </c>
      <c r="H1187">
        <v>1917.3846153846155</v>
      </c>
      <c r="O1187" s="15"/>
    </row>
    <row r="1188" spans="4:15">
      <c r="D1188" s="15">
        <v>131320</v>
      </c>
      <c r="E1188">
        <v>2376.5163147792705</v>
      </c>
      <c r="F1188">
        <v>1806.7946257197698</v>
      </c>
      <c r="G1188">
        <v>2370.2015355086373</v>
      </c>
      <c r="H1188">
        <v>1917.3608445297505</v>
      </c>
      <c r="O1188" s="15"/>
    </row>
    <row r="1189" spans="4:15">
      <c r="D1189" s="15">
        <v>131325</v>
      </c>
      <c r="E1189">
        <v>2376.5038314176245</v>
      </c>
      <c r="F1189">
        <v>1806.7816091954023</v>
      </c>
      <c r="G1189">
        <v>2370.162835249042</v>
      </c>
      <c r="H1189">
        <v>1917.3371647509578</v>
      </c>
      <c r="O1189" s="15"/>
    </row>
    <row r="1190" spans="4:15">
      <c r="D1190" s="15">
        <v>131330</v>
      </c>
      <c r="E1190">
        <v>2376.4913957934991</v>
      </c>
      <c r="F1190">
        <v>1806.7686424474186</v>
      </c>
      <c r="G1190">
        <v>2370.1242829827916</v>
      </c>
      <c r="H1190">
        <v>1917.3135755258127</v>
      </c>
      <c r="O1190" s="15"/>
    </row>
    <row r="1191" spans="4:15">
      <c r="D1191" s="15">
        <v>131335</v>
      </c>
      <c r="E1191">
        <v>2376.4790076335876</v>
      </c>
      <c r="F1191">
        <v>1806.7557251908397</v>
      </c>
      <c r="G1191">
        <v>2370.0858778625952</v>
      </c>
      <c r="H1191">
        <v>1917.2900763358778</v>
      </c>
      <c r="O1191" s="15"/>
    </row>
    <row r="1192" spans="4:15">
      <c r="D1192" s="15">
        <v>131340</v>
      </c>
      <c r="E1192">
        <v>2376.4666666666667</v>
      </c>
      <c r="F1192">
        <v>1806.7428571428572</v>
      </c>
      <c r="G1192">
        <v>2370.0476190476193</v>
      </c>
      <c r="H1192">
        <v>1917.2761904761905</v>
      </c>
      <c r="O1192" s="15"/>
    </row>
    <row r="1193" spans="4:15">
      <c r="D1193" s="15">
        <v>131345</v>
      </c>
      <c r="E1193">
        <v>2376.4543726235743</v>
      </c>
      <c r="F1193">
        <v>1806.7300380228137</v>
      </c>
      <c r="G1193">
        <v>2370.0095057034218</v>
      </c>
      <c r="H1193">
        <v>1917.2528517110266</v>
      </c>
      <c r="O1193" s="15"/>
    </row>
    <row r="1194" spans="4:15">
      <c r="D1194" s="15">
        <v>131350</v>
      </c>
      <c r="E1194">
        <v>2376.4421252371917</v>
      </c>
      <c r="F1194">
        <v>1806.7172675521822</v>
      </c>
      <c r="G1194">
        <v>2369.9715370018976</v>
      </c>
      <c r="H1194">
        <v>1917.2296015180266</v>
      </c>
      <c r="O1194" s="15"/>
    </row>
    <row r="1195" spans="4:15">
      <c r="D1195" s="15">
        <v>131355</v>
      </c>
      <c r="E1195">
        <v>2376.429924242424</v>
      </c>
      <c r="F1195">
        <v>1806.7045454545455</v>
      </c>
      <c r="G1195">
        <v>2369.933712121212</v>
      </c>
      <c r="H1195">
        <v>1917.2064393939395</v>
      </c>
      <c r="O1195" s="15"/>
    </row>
    <row r="1196" spans="4:15">
      <c r="D1196" s="15">
        <v>131400</v>
      </c>
      <c r="E1196">
        <v>2376.4177693761817</v>
      </c>
      <c r="F1196">
        <v>1806.6918714555766</v>
      </c>
      <c r="G1196">
        <v>2369.8960302457467</v>
      </c>
      <c r="H1196">
        <v>1917.1928166351606</v>
      </c>
      <c r="O1196" s="15"/>
    </row>
    <row r="1197" spans="4:15">
      <c r="D1197" s="15">
        <v>131405</v>
      </c>
      <c r="E1197">
        <v>2376.4056603773583</v>
      </c>
      <c r="F1197">
        <v>1806.6792452830189</v>
      </c>
      <c r="G1197">
        <v>2369.8584905660377</v>
      </c>
      <c r="H1197">
        <v>1917.1698113207547</v>
      </c>
      <c r="O1197" s="15"/>
    </row>
    <row r="1198" spans="4:15">
      <c r="D1198" s="15">
        <v>131410</v>
      </c>
      <c r="E1198">
        <v>2376.3935969868171</v>
      </c>
      <c r="F1198">
        <v>1806.6666666666667</v>
      </c>
      <c r="G1198">
        <v>2369.8210922787193</v>
      </c>
      <c r="H1198">
        <v>1917.1468926553673</v>
      </c>
      <c r="O1198" s="15"/>
    </row>
    <row r="1199" spans="4:15">
      <c r="D1199" s="15">
        <v>131415</v>
      </c>
      <c r="E1199">
        <v>2376.3815789473683</v>
      </c>
      <c r="F1199">
        <v>1806.6541353383459</v>
      </c>
      <c r="G1199">
        <v>2369.7838345864661</v>
      </c>
      <c r="H1199">
        <v>1917.124060150376</v>
      </c>
      <c r="O1199" s="15"/>
    </row>
    <row r="1200" spans="4:15">
      <c r="D1200" s="15">
        <v>131420</v>
      </c>
      <c r="E1200">
        <v>2376.3696060037523</v>
      </c>
      <c r="F1200">
        <v>1806.641651031895</v>
      </c>
      <c r="G1200">
        <v>2369.7467166979363</v>
      </c>
      <c r="H1200">
        <v>1917.1013133208255</v>
      </c>
      <c r="O1200" s="15"/>
    </row>
    <row r="1201" spans="4:15">
      <c r="D1201" s="15">
        <v>131425</v>
      </c>
      <c r="E1201">
        <v>2376.3576779026216</v>
      </c>
      <c r="F1201">
        <v>1806.629213483146</v>
      </c>
      <c r="G1201">
        <v>2369.7097378277153</v>
      </c>
      <c r="H1201">
        <v>1917.0786516853932</v>
      </c>
      <c r="O1201" s="15"/>
    </row>
    <row r="1202" spans="4:15">
      <c r="D1202" s="15">
        <v>131430</v>
      </c>
      <c r="E1202">
        <v>2376.3457943925232</v>
      </c>
      <c r="F1202">
        <v>1806.6168224299065</v>
      </c>
      <c r="G1202">
        <v>2369.6728971962616</v>
      </c>
      <c r="H1202">
        <v>1917.0560747663551</v>
      </c>
      <c r="O1202" s="15"/>
    </row>
    <row r="1203" spans="4:15">
      <c r="D1203" s="15">
        <v>131435</v>
      </c>
      <c r="E1203">
        <v>2376.3339552238808</v>
      </c>
      <c r="F1203">
        <v>1806.6044776119404</v>
      </c>
      <c r="G1203">
        <v>2369.6361940298507</v>
      </c>
      <c r="H1203">
        <v>1917.0335820895523</v>
      </c>
      <c r="O1203" s="15"/>
    </row>
    <row r="1204" spans="4:15">
      <c r="D1204" s="15">
        <v>131440</v>
      </c>
      <c r="E1204">
        <v>2376.3221601489759</v>
      </c>
      <c r="F1204">
        <v>1806.5921787709497</v>
      </c>
      <c r="G1204">
        <v>2369.5996275605216</v>
      </c>
      <c r="H1204">
        <v>1917.0111731843576</v>
      </c>
      <c r="O1204" s="15"/>
    </row>
    <row r="1205" spans="4:15">
      <c r="D1205" s="15">
        <v>131445</v>
      </c>
      <c r="E1205">
        <v>2376.3104089219332</v>
      </c>
      <c r="F1205">
        <v>1806.5799256505577</v>
      </c>
      <c r="G1205">
        <v>2369.5631970260224</v>
      </c>
      <c r="H1205">
        <v>1916.9888475836431</v>
      </c>
      <c r="O1205" s="15"/>
    </row>
    <row r="1206" spans="4:15">
      <c r="D1206" s="15">
        <v>131450</v>
      </c>
      <c r="E1206">
        <v>2376.2987012987014</v>
      </c>
      <c r="F1206">
        <v>1806.5677179962895</v>
      </c>
      <c r="G1206">
        <v>2369.5269016697589</v>
      </c>
      <c r="H1206">
        <v>1916.9758812615955</v>
      </c>
      <c r="O1206" s="15"/>
    </row>
    <row r="1207" spans="4:15">
      <c r="D1207" s="15">
        <v>131455</v>
      </c>
      <c r="E1207">
        <v>2376.287037037037</v>
      </c>
      <c r="F1207">
        <v>1806.5648148148148</v>
      </c>
      <c r="G1207">
        <v>2369.4907407407409</v>
      </c>
      <c r="H1207">
        <v>1916.9537037037037</v>
      </c>
      <c r="O1207" s="15"/>
    </row>
    <row r="1208" spans="4:15">
      <c r="D1208" s="15">
        <v>131500</v>
      </c>
      <c r="E1208">
        <v>2376.2754158964881</v>
      </c>
      <c r="F1208">
        <v>1806.5619223659889</v>
      </c>
      <c r="G1208">
        <v>2369.4547134935306</v>
      </c>
      <c r="H1208">
        <v>1916.9408502772644</v>
      </c>
      <c r="O1208" s="15"/>
    </row>
    <row r="1209" spans="4:15">
      <c r="D1209" s="15">
        <v>131505</v>
      </c>
      <c r="E1209">
        <v>2376.2638376383766</v>
      </c>
      <c r="F1209">
        <v>1806.5590405904059</v>
      </c>
      <c r="G1209">
        <v>2369.4372693726937</v>
      </c>
      <c r="H1209">
        <v>1916.9188191881919</v>
      </c>
      <c r="O1209" s="15"/>
    </row>
    <row r="1210" spans="4:15">
      <c r="D1210" s="15">
        <v>131510</v>
      </c>
      <c r="E1210">
        <v>2376.2523020257827</v>
      </c>
      <c r="F1210">
        <v>1806.5469613259668</v>
      </c>
      <c r="G1210">
        <v>2369.4198895027625</v>
      </c>
      <c r="H1210">
        <v>1916.8968692449355</v>
      </c>
      <c r="O1210" s="15"/>
    </row>
    <row r="1211" spans="4:15">
      <c r="D1211" s="15">
        <v>131515</v>
      </c>
      <c r="E1211">
        <v>2376.231617647059</v>
      </c>
      <c r="F1211">
        <v>1806.5349264705883</v>
      </c>
      <c r="G1211">
        <v>2369.4025735294117</v>
      </c>
      <c r="H1211">
        <v>1916.875</v>
      </c>
      <c r="O1211" s="15"/>
    </row>
    <row r="1212" spans="4:15">
      <c r="D1212" s="15">
        <v>131520</v>
      </c>
      <c r="E1212">
        <v>2376.211009174312</v>
      </c>
      <c r="F1212">
        <v>1806.5229357798164</v>
      </c>
      <c r="G1212">
        <v>2369.3853211009173</v>
      </c>
      <c r="H1212">
        <v>1916.8623853211009</v>
      </c>
      <c r="O1212" s="15"/>
    </row>
    <row r="1213" spans="4:15">
      <c r="D1213" s="15">
        <v>131525</v>
      </c>
      <c r="E1213">
        <v>2376.1813186813188</v>
      </c>
      <c r="F1213">
        <v>1806.5109890109891</v>
      </c>
      <c r="G1213">
        <v>2369.368131868132</v>
      </c>
      <c r="H1213">
        <v>1916.8406593406594</v>
      </c>
      <c r="O1213" s="15"/>
    </row>
    <row r="1214" spans="4:15">
      <c r="D1214" s="15">
        <v>131530</v>
      </c>
      <c r="E1214">
        <v>2376.1608775137111</v>
      </c>
      <c r="F1214">
        <v>1806.508226691042</v>
      </c>
      <c r="G1214">
        <v>2369.3510054844605</v>
      </c>
      <c r="H1214">
        <v>1916.8190127970749</v>
      </c>
      <c r="O1214" s="15"/>
    </row>
    <row r="1215" spans="4:15">
      <c r="D1215" s="15">
        <v>131535</v>
      </c>
      <c r="E1215">
        <v>2376.1405109489051</v>
      </c>
      <c r="F1215">
        <v>1806.4963503649635</v>
      </c>
      <c r="G1215">
        <v>2369.3339416058393</v>
      </c>
      <c r="H1215">
        <v>1916.7974452554745</v>
      </c>
      <c r="O1215" s="15"/>
    </row>
    <row r="1216" spans="4:15">
      <c r="D1216" s="15">
        <v>131540</v>
      </c>
      <c r="E1216">
        <v>2376.1202185792349</v>
      </c>
      <c r="F1216">
        <v>1806.4845173041895</v>
      </c>
      <c r="G1216">
        <v>2369.3169398907103</v>
      </c>
      <c r="H1216">
        <v>1916.7759562841529</v>
      </c>
      <c r="O1216" s="15"/>
    </row>
    <row r="1217" spans="4:15">
      <c r="D1217" s="15">
        <v>131545</v>
      </c>
      <c r="E1217">
        <v>2376.1</v>
      </c>
      <c r="F1217">
        <v>1806.4727272727273</v>
      </c>
      <c r="G1217">
        <v>2369.3000000000002</v>
      </c>
      <c r="H1217">
        <v>1916.7545454545455</v>
      </c>
      <c r="O1217" s="15"/>
    </row>
    <row r="1218" spans="4:15">
      <c r="D1218" s="15">
        <v>131550</v>
      </c>
      <c r="E1218">
        <v>2376.0798548094372</v>
      </c>
      <c r="F1218">
        <v>1806.4609800362975</v>
      </c>
      <c r="G1218">
        <v>2369.2831215970964</v>
      </c>
      <c r="H1218">
        <v>1916.7332123411977</v>
      </c>
      <c r="O1218" s="15"/>
    </row>
    <row r="1219" spans="4:15">
      <c r="D1219" s="15">
        <v>131555</v>
      </c>
      <c r="E1219">
        <v>2376.0597826086955</v>
      </c>
      <c r="F1219">
        <v>1806.4492753623188</v>
      </c>
      <c r="G1219">
        <v>2369.266304347826</v>
      </c>
      <c r="H1219">
        <v>1916.7210144927535</v>
      </c>
      <c r="O1219" s="15"/>
    </row>
    <row r="1220" spans="4:15">
      <c r="D1220" s="15">
        <v>131600</v>
      </c>
      <c r="E1220">
        <v>2376.0397830018082</v>
      </c>
      <c r="F1220">
        <v>1806.4376130198916</v>
      </c>
      <c r="G1220">
        <v>2369.249547920434</v>
      </c>
      <c r="H1220">
        <v>1916.7088607594937</v>
      </c>
      <c r="O1220" s="15"/>
    </row>
    <row r="1221" spans="4:15">
      <c r="D1221" s="15">
        <v>131605</v>
      </c>
      <c r="E1221">
        <v>2376.0198555956677</v>
      </c>
      <c r="F1221">
        <v>1806.4259927797834</v>
      </c>
      <c r="G1221">
        <v>2369.2328519855596</v>
      </c>
      <c r="H1221">
        <v>1916.6877256317689</v>
      </c>
      <c r="O1221" s="15"/>
    </row>
    <row r="1222" spans="4:15">
      <c r="D1222" s="15">
        <v>131610</v>
      </c>
      <c r="E1222">
        <v>2376</v>
      </c>
      <c r="F1222">
        <v>1806.4144144144145</v>
      </c>
      <c r="G1222">
        <v>2369.198198198198</v>
      </c>
      <c r="H1222">
        <v>1916.6756756756756</v>
      </c>
      <c r="O1222" s="15"/>
    </row>
    <row r="1223" spans="4:15">
      <c r="D1223" s="15">
        <v>131615</v>
      </c>
      <c r="E1223">
        <v>2375.9712230215828</v>
      </c>
      <c r="F1223">
        <v>1806.4028776978416</v>
      </c>
      <c r="G1223">
        <v>2369.1636690647483</v>
      </c>
      <c r="H1223">
        <v>1916.6546762589928</v>
      </c>
      <c r="O1223" s="15"/>
    </row>
    <row r="1224" spans="4:15">
      <c r="D1224" s="15">
        <v>131620</v>
      </c>
      <c r="E1224">
        <v>2375.951526032316</v>
      </c>
      <c r="F1224">
        <v>1806.3913824057452</v>
      </c>
      <c r="G1224">
        <v>2369.1292639138242</v>
      </c>
      <c r="H1224">
        <v>1916.6337522441652</v>
      </c>
      <c r="O1224" s="15"/>
    </row>
    <row r="1225" spans="4:15">
      <c r="D1225" s="15">
        <v>131625</v>
      </c>
      <c r="E1225">
        <v>2375.9229390681003</v>
      </c>
      <c r="F1225">
        <v>1806.3888888888889</v>
      </c>
      <c r="G1225">
        <v>2369.0949820788533</v>
      </c>
      <c r="H1225">
        <v>1916.6218637992831</v>
      </c>
      <c r="O1225" s="15"/>
    </row>
    <row r="1226" spans="4:15">
      <c r="D1226" s="15">
        <v>131630</v>
      </c>
      <c r="E1226">
        <v>2375.8944543828266</v>
      </c>
      <c r="F1226">
        <v>1806.3774597495528</v>
      </c>
      <c r="G1226">
        <v>2369.0608228980323</v>
      </c>
      <c r="H1226">
        <v>1916.6010733452595</v>
      </c>
      <c r="O1226" s="15"/>
    </row>
    <row r="1227" spans="4:15">
      <c r="D1227" s="15">
        <v>131635</v>
      </c>
      <c r="E1227">
        <v>2375.8660714285716</v>
      </c>
      <c r="F1227">
        <v>1806.3660714285713</v>
      </c>
      <c r="G1227">
        <v>2369.0267857142858</v>
      </c>
      <c r="H1227">
        <v>1916.5803571428571</v>
      </c>
      <c r="O1227" s="15"/>
    </row>
    <row r="1228" spans="4:15">
      <c r="D1228" s="15">
        <v>131640</v>
      </c>
      <c r="E1228">
        <v>2375.8377896613192</v>
      </c>
      <c r="F1228">
        <v>1806.3547237076648</v>
      </c>
      <c r="G1228">
        <v>2368.9928698752228</v>
      </c>
      <c r="H1228">
        <v>1916.5686274509803</v>
      </c>
      <c r="O1228" s="15"/>
    </row>
    <row r="1229" spans="4:15">
      <c r="D1229" s="15">
        <v>131645</v>
      </c>
      <c r="E1229">
        <v>2375.8096085409252</v>
      </c>
      <c r="F1229">
        <v>1806.3434163701068</v>
      </c>
      <c r="G1229">
        <v>2368.9590747330963</v>
      </c>
      <c r="H1229">
        <v>1916.5480427046264</v>
      </c>
      <c r="O1229" s="15"/>
    </row>
    <row r="1230" spans="4:15">
      <c r="D1230" s="15">
        <v>131650</v>
      </c>
      <c r="E1230">
        <v>2375.7815275310836</v>
      </c>
      <c r="F1230">
        <v>1806.3321492007105</v>
      </c>
      <c r="G1230">
        <v>2368.9253996447601</v>
      </c>
      <c r="H1230">
        <v>1916.5275310834813</v>
      </c>
      <c r="O1230" s="15"/>
    </row>
    <row r="1231" spans="4:15">
      <c r="D1231" s="15">
        <v>131655</v>
      </c>
      <c r="E1231">
        <v>2375.7535460992908</v>
      </c>
      <c r="F1231">
        <v>1806.3209219858156</v>
      </c>
      <c r="G1231">
        <v>2368.8918439716313</v>
      </c>
      <c r="H1231">
        <v>1916.5159574468084</v>
      </c>
      <c r="O1231" s="15"/>
    </row>
    <row r="1232" spans="4:15">
      <c r="D1232" s="15">
        <v>131700</v>
      </c>
      <c r="E1232">
        <v>2375.7256637168143</v>
      </c>
      <c r="F1232">
        <v>1806.3185840707965</v>
      </c>
      <c r="G1232">
        <v>2368.858407079646</v>
      </c>
      <c r="H1232">
        <v>1916.5044247787609</v>
      </c>
      <c r="O1232" s="15"/>
    </row>
    <row r="1233" spans="4:15">
      <c r="D1233" s="15">
        <v>131705</v>
      </c>
      <c r="E1233">
        <v>2375.6978798586574</v>
      </c>
      <c r="F1233">
        <v>1806.3074204946997</v>
      </c>
      <c r="G1233">
        <v>2368.8250883392225</v>
      </c>
      <c r="H1233">
        <v>1916.4840989399293</v>
      </c>
      <c r="O1233" s="15"/>
    </row>
    <row r="1234" spans="4:15">
      <c r="D1234" s="15">
        <v>131710</v>
      </c>
      <c r="E1234">
        <v>2375.6701940035273</v>
      </c>
      <c r="F1234">
        <v>1806.2962962962963</v>
      </c>
      <c r="G1234">
        <v>2368.7918871252205</v>
      </c>
      <c r="H1234">
        <v>1916.4726631393298</v>
      </c>
      <c r="O1234" s="15"/>
    </row>
    <row r="1235" spans="4:15">
      <c r="D1235" s="15">
        <v>131715</v>
      </c>
      <c r="E1235">
        <v>2375.6426056338028</v>
      </c>
      <c r="F1235">
        <v>1806.2852112676057</v>
      </c>
      <c r="G1235">
        <v>2368.7764084507044</v>
      </c>
      <c r="H1235">
        <v>1916.4524647887324</v>
      </c>
      <c r="O1235" s="15"/>
    </row>
    <row r="1236" spans="4:15">
      <c r="D1236" s="15">
        <v>131720</v>
      </c>
      <c r="E1236">
        <v>2375.6151142355011</v>
      </c>
      <c r="F1236">
        <v>1806.2741652021089</v>
      </c>
      <c r="G1236">
        <v>2368.7609841827766</v>
      </c>
      <c r="H1236">
        <v>1916.432337434095</v>
      </c>
      <c r="O1236" s="15"/>
    </row>
    <row r="1237" spans="4:15">
      <c r="D1237" s="15">
        <v>131725</v>
      </c>
      <c r="E1237">
        <v>2375.5877192982457</v>
      </c>
      <c r="F1237">
        <v>1806.2631578947369</v>
      </c>
      <c r="G1237">
        <v>2368.7456140350878</v>
      </c>
      <c r="H1237">
        <v>1916.421052631579</v>
      </c>
      <c r="O1237" s="15"/>
    </row>
    <row r="1238" spans="4:15">
      <c r="D1238" s="15">
        <v>131730</v>
      </c>
      <c r="E1238">
        <v>2375.5691768826618</v>
      </c>
      <c r="F1238">
        <v>1806.2521891418564</v>
      </c>
      <c r="G1238">
        <v>2368.7302977232926</v>
      </c>
      <c r="H1238">
        <v>1916.401050788091</v>
      </c>
      <c r="O1238" s="15"/>
    </row>
    <row r="1239" spans="4:15">
      <c r="D1239" s="15">
        <v>131735</v>
      </c>
      <c r="E1239">
        <v>2375.5506993006993</v>
      </c>
      <c r="F1239">
        <v>1806.2412587412587</v>
      </c>
      <c r="G1239">
        <v>2368.7150349650351</v>
      </c>
      <c r="H1239">
        <v>1916.3811188811189</v>
      </c>
      <c r="O1239" s="15"/>
    </row>
    <row r="1240" spans="4:15">
      <c r="D1240" s="15">
        <v>131740</v>
      </c>
      <c r="E1240">
        <v>2375.5322862129146</v>
      </c>
      <c r="F1240">
        <v>1806.2303664921467</v>
      </c>
      <c r="G1240">
        <v>2368.69982547993</v>
      </c>
      <c r="H1240">
        <v>1916.369982547993</v>
      </c>
      <c r="O1240" s="15"/>
    </row>
    <row r="1241" spans="4:15">
      <c r="D1241" s="15">
        <v>131745</v>
      </c>
      <c r="E1241">
        <v>2375.51393728223</v>
      </c>
      <c r="F1241">
        <v>1806.219512195122</v>
      </c>
      <c r="G1241">
        <v>2368.6759581881533</v>
      </c>
      <c r="H1241">
        <v>1916.3501742160279</v>
      </c>
      <c r="O1241" s="15"/>
    </row>
    <row r="1242" spans="4:15">
      <c r="D1242" s="15">
        <v>131750</v>
      </c>
      <c r="E1242">
        <v>2375.4956521739132</v>
      </c>
      <c r="F1242">
        <v>1806.2086956521739</v>
      </c>
      <c r="G1242">
        <v>2368.6521739130435</v>
      </c>
      <c r="H1242">
        <v>1916.3304347826088</v>
      </c>
      <c r="O1242" s="15"/>
    </row>
    <row r="1243" spans="4:15">
      <c r="D1243" s="15">
        <v>131755</v>
      </c>
      <c r="E1243">
        <v>2375.4774305555557</v>
      </c>
      <c r="F1243">
        <v>1806.1979166666667</v>
      </c>
      <c r="G1243">
        <v>2368.6284722222222</v>
      </c>
      <c r="H1243">
        <v>1916.3107638888889</v>
      </c>
      <c r="O1243" s="15"/>
    </row>
    <row r="1244" spans="4:15">
      <c r="D1244" s="15">
        <v>131800</v>
      </c>
      <c r="E1244">
        <v>2375.4592720970536</v>
      </c>
      <c r="F1244">
        <v>1806.1871750433274</v>
      </c>
      <c r="G1244">
        <v>2368.6048526863083</v>
      </c>
      <c r="H1244">
        <v>1916.2998266897746</v>
      </c>
      <c r="O1244" s="15"/>
    </row>
    <row r="1245" spans="4:15">
      <c r="D1245" s="15">
        <v>131805</v>
      </c>
      <c r="E1245">
        <v>2375.4411764705883</v>
      </c>
      <c r="F1245">
        <v>1806.1764705882354</v>
      </c>
      <c r="G1245">
        <v>2368.581314878893</v>
      </c>
      <c r="H1245">
        <v>1916.2802768166091</v>
      </c>
      <c r="O1245" s="15"/>
    </row>
    <row r="1246" spans="4:15">
      <c r="D1246" s="15">
        <v>131810</v>
      </c>
      <c r="E1246">
        <v>2375.4231433506043</v>
      </c>
      <c r="F1246">
        <v>1806.174438687392</v>
      </c>
      <c r="G1246">
        <v>2368.5578583765114</v>
      </c>
      <c r="H1246">
        <v>1916.2607944732297</v>
      </c>
      <c r="O1246" s="15"/>
    </row>
    <row r="1247" spans="4:15">
      <c r="D1247" s="15">
        <v>131815</v>
      </c>
      <c r="E1247">
        <v>2375.405172413793</v>
      </c>
      <c r="F1247">
        <v>1806.1637931034484</v>
      </c>
      <c r="G1247">
        <v>2368.5344827586205</v>
      </c>
      <c r="H1247">
        <v>1916.2413793103449</v>
      </c>
      <c r="O1247" s="15"/>
    </row>
    <row r="1248" spans="4:15">
      <c r="D1248" s="15">
        <v>131820</v>
      </c>
      <c r="E1248">
        <v>2375.3872633390706</v>
      </c>
      <c r="F1248">
        <v>1806.1531841652325</v>
      </c>
      <c r="G1248">
        <v>2368.511187607573</v>
      </c>
      <c r="H1248">
        <v>1916.2220309810671</v>
      </c>
      <c r="O1248" s="15"/>
    </row>
    <row r="1249" spans="4:15">
      <c r="D1249" s="15">
        <v>131825</v>
      </c>
      <c r="E1249">
        <v>2375.36941580756</v>
      </c>
      <c r="F1249">
        <v>1806.1426116838488</v>
      </c>
      <c r="G1249">
        <v>2368.4879725085912</v>
      </c>
      <c r="H1249">
        <v>1916.2027491408935</v>
      </c>
      <c r="O1249" s="15"/>
    </row>
    <row r="1250" spans="4:15">
      <c r="D1250" s="15">
        <v>131830</v>
      </c>
      <c r="E1250">
        <v>2375.3516295025729</v>
      </c>
      <c r="F1250">
        <v>1806.132075471698</v>
      </c>
      <c r="G1250">
        <v>2368.4648370497425</v>
      </c>
      <c r="H1250">
        <v>1916.1835334476843</v>
      </c>
      <c r="O1250" s="15"/>
    </row>
    <row r="1251" spans="4:15">
      <c r="D1251" s="15">
        <v>131835</v>
      </c>
      <c r="E1251">
        <v>2375.3339041095892</v>
      </c>
      <c r="F1251">
        <v>1806.1215753424658</v>
      </c>
      <c r="G1251">
        <v>2368.4503424657532</v>
      </c>
      <c r="H1251">
        <v>1916.1643835616439</v>
      </c>
      <c r="O1251" s="15"/>
    </row>
    <row r="1252" spans="4:15">
      <c r="D1252" s="15">
        <v>131840</v>
      </c>
      <c r="E1252">
        <v>2375.3162393162393</v>
      </c>
      <c r="F1252">
        <v>1806.1111111111111</v>
      </c>
      <c r="G1252">
        <v>2368.4358974358975</v>
      </c>
      <c r="H1252">
        <v>1916.1452991452991</v>
      </c>
      <c r="O1252" s="15"/>
    </row>
    <row r="1253" spans="4:15">
      <c r="D1253" s="15">
        <v>131845</v>
      </c>
      <c r="E1253">
        <v>2375.2986348122868</v>
      </c>
      <c r="F1253">
        <v>1806.1006825938566</v>
      </c>
      <c r="G1253">
        <v>2368.4215017064848</v>
      </c>
      <c r="H1253">
        <v>1916.1262798634812</v>
      </c>
      <c r="O1253" s="15"/>
    </row>
    <row r="1254" spans="4:15">
      <c r="D1254" s="15">
        <v>131850</v>
      </c>
      <c r="E1254">
        <v>2375.2725724020443</v>
      </c>
      <c r="F1254">
        <v>1806.0902896081773</v>
      </c>
      <c r="G1254">
        <v>2368.4071550255535</v>
      </c>
      <c r="H1254">
        <v>1916.1073253833049</v>
      </c>
      <c r="O1254" s="15"/>
    </row>
    <row r="1255" spans="4:15">
      <c r="D1255" s="15">
        <v>131855</v>
      </c>
      <c r="E1255">
        <v>2375.2465986394559</v>
      </c>
      <c r="F1255">
        <v>1806.0799319727892</v>
      </c>
      <c r="G1255">
        <v>2368.3928571428573</v>
      </c>
      <c r="H1255">
        <v>1916.0884353741496</v>
      </c>
      <c r="O1255" s="15"/>
    </row>
    <row r="1256" spans="4:15">
      <c r="D1256" s="15">
        <v>131900</v>
      </c>
      <c r="E1256">
        <v>2375.2207130730053</v>
      </c>
      <c r="F1256">
        <v>1806.0696095076401</v>
      </c>
      <c r="G1256">
        <v>2368.3786078098474</v>
      </c>
      <c r="H1256">
        <v>1916.0696095076401</v>
      </c>
      <c r="O1256" s="15"/>
    </row>
    <row r="1257" spans="4:15">
      <c r="D1257" s="15">
        <v>131905</v>
      </c>
      <c r="E1257">
        <v>2375.2033898305085</v>
      </c>
      <c r="F1257">
        <v>1806.0593220338983</v>
      </c>
      <c r="G1257">
        <v>2368.3644067796608</v>
      </c>
      <c r="H1257">
        <v>1916.050847457627</v>
      </c>
      <c r="O1257" s="15"/>
    </row>
    <row r="1258" spans="4:15">
      <c r="D1258" s="15">
        <v>131910</v>
      </c>
      <c r="E1258">
        <v>2375.1945854483924</v>
      </c>
      <c r="F1258">
        <v>1806.0490693739425</v>
      </c>
      <c r="G1258">
        <v>2368.3502538071066</v>
      </c>
      <c r="H1258">
        <v>1916.0321489001692</v>
      </c>
      <c r="O1258" s="15"/>
    </row>
    <row r="1259" spans="4:15">
      <c r="D1259" s="15">
        <v>131915</v>
      </c>
      <c r="E1259">
        <v>2375.1858108108108</v>
      </c>
      <c r="F1259">
        <v>1806.0388513513512</v>
      </c>
      <c r="G1259">
        <v>2368.3361486486488</v>
      </c>
      <c r="H1259">
        <v>1916.0135135135135</v>
      </c>
      <c r="O1259" s="15"/>
    </row>
    <row r="1260" spans="4:15">
      <c r="D1260" s="15">
        <v>131920</v>
      </c>
      <c r="E1260">
        <v>2375.1770657672851</v>
      </c>
      <c r="F1260">
        <v>1806.0286677908937</v>
      </c>
      <c r="G1260">
        <v>2368.3220910623945</v>
      </c>
      <c r="H1260">
        <v>1915.9949409780775</v>
      </c>
      <c r="O1260" s="15"/>
    </row>
    <row r="1261" spans="4:15">
      <c r="D1261" s="15">
        <v>131925</v>
      </c>
      <c r="E1261">
        <v>2375.1683501683501</v>
      </c>
      <c r="F1261">
        <v>1806.026936026936</v>
      </c>
      <c r="G1261">
        <v>2368.3080808080808</v>
      </c>
      <c r="H1261">
        <v>1915.9764309764309</v>
      </c>
      <c r="O1261" s="15"/>
    </row>
    <row r="1262" spans="4:15">
      <c r="D1262" s="15">
        <v>131930</v>
      </c>
      <c r="E1262">
        <v>2375.159663865546</v>
      </c>
      <c r="F1262">
        <v>1806.0168067226891</v>
      </c>
      <c r="G1262">
        <v>2368.294117647059</v>
      </c>
      <c r="H1262">
        <v>1915.9579831932774</v>
      </c>
      <c r="O1262" s="15"/>
    </row>
    <row r="1263" spans="4:15">
      <c r="D1263" s="15">
        <v>131935</v>
      </c>
      <c r="E1263">
        <v>2375.1510067114095</v>
      </c>
      <c r="F1263">
        <v>1806.0067114093961</v>
      </c>
      <c r="G1263">
        <v>2368.280201342282</v>
      </c>
      <c r="H1263">
        <v>1915.9395973154362</v>
      </c>
      <c r="O1263" s="15"/>
    </row>
    <row r="1264" spans="4:15">
      <c r="D1264" s="15">
        <v>131940</v>
      </c>
      <c r="E1264">
        <v>2375.1340033500837</v>
      </c>
      <c r="F1264">
        <v>1805.9966499162479</v>
      </c>
      <c r="G1264">
        <v>2368.2495812395309</v>
      </c>
      <c r="H1264">
        <v>1915.929648241206</v>
      </c>
      <c r="O1264" s="15"/>
    </row>
    <row r="1265" spans="4:15">
      <c r="D1265" s="15">
        <v>131945</v>
      </c>
      <c r="E1265">
        <v>2375.1170568561874</v>
      </c>
      <c r="F1265">
        <v>1805.9866220735787</v>
      </c>
      <c r="G1265">
        <v>2368.2190635451507</v>
      </c>
      <c r="H1265">
        <v>1915.9197324414715</v>
      </c>
      <c r="O1265" s="15"/>
    </row>
    <row r="1266" spans="4:15">
      <c r="D1266" s="15">
        <v>131950</v>
      </c>
      <c r="E1266">
        <v>2375.1001669449083</v>
      </c>
      <c r="F1266">
        <v>1805.9766277128547</v>
      </c>
      <c r="G1266">
        <v>2368.1886477462435</v>
      </c>
      <c r="H1266">
        <v>1915.9015025041735</v>
      </c>
      <c r="O1266" s="15"/>
    </row>
    <row r="1267" spans="4:15">
      <c r="D1267" s="15">
        <v>131955</v>
      </c>
      <c r="E1267">
        <v>2375.0833333333335</v>
      </c>
      <c r="F1267">
        <v>1805.9666666666667</v>
      </c>
      <c r="G1267">
        <v>2368.1583333333333</v>
      </c>
      <c r="H1267">
        <v>1915.8833333333334</v>
      </c>
      <c r="O1267" s="15"/>
    </row>
    <row r="1268" spans="4:15">
      <c r="D1268" s="15">
        <v>132000</v>
      </c>
      <c r="E1268">
        <v>2375.0665557404327</v>
      </c>
      <c r="F1268">
        <v>1805.9567387687189</v>
      </c>
      <c r="G1268">
        <v>2368.1281198003326</v>
      </c>
      <c r="H1268">
        <v>1915.873544093178</v>
      </c>
      <c r="O1268" s="15"/>
    </row>
    <row r="1269" spans="4:15">
      <c r="D1269" s="15">
        <v>132005</v>
      </c>
      <c r="E1269">
        <v>2375.0415282392028</v>
      </c>
      <c r="F1269">
        <v>1805.9468438538206</v>
      </c>
      <c r="G1269">
        <v>2368.0980066445181</v>
      </c>
      <c r="H1269">
        <v>1915.8637873754153</v>
      </c>
      <c r="O1269" s="15"/>
    </row>
    <row r="1270" spans="4:15">
      <c r="D1270" s="15">
        <v>132010</v>
      </c>
      <c r="E1270">
        <v>2375.0165837479271</v>
      </c>
      <c r="F1270">
        <v>1805.9369817578772</v>
      </c>
      <c r="G1270">
        <v>2368.067993366501</v>
      </c>
      <c r="H1270">
        <v>1915.8540630182422</v>
      </c>
      <c r="O1270" s="15"/>
    </row>
    <row r="1271" spans="4:15">
      <c r="D1271" s="15">
        <v>132015</v>
      </c>
      <c r="E1271">
        <v>2374.9917218543046</v>
      </c>
      <c r="F1271">
        <v>1805.9271523178809</v>
      </c>
      <c r="G1271">
        <v>2368.0380794701987</v>
      </c>
      <c r="H1271">
        <v>1915.8443708609273</v>
      </c>
      <c r="O1271" s="15"/>
    </row>
    <row r="1272" spans="4:15">
      <c r="D1272" s="15">
        <v>132020</v>
      </c>
      <c r="E1272">
        <v>2374.9669421487602</v>
      </c>
      <c r="F1272">
        <v>1805.9173553719008</v>
      </c>
      <c r="G1272">
        <v>2368.0082644628101</v>
      </c>
      <c r="H1272">
        <v>1915.8264462809918</v>
      </c>
      <c r="O1272" s="15"/>
    </row>
    <row r="1273" spans="4:15">
      <c r="D1273" s="15">
        <v>132025</v>
      </c>
      <c r="E1273">
        <v>2374.9422442244227</v>
      </c>
      <c r="F1273">
        <v>1805.9075907590759</v>
      </c>
      <c r="G1273">
        <v>2367.9785478547856</v>
      </c>
      <c r="H1273">
        <v>1915.8168316831684</v>
      </c>
      <c r="O1273" s="15"/>
    </row>
    <row r="1274" spans="4:15">
      <c r="D1274" s="15">
        <v>132030</v>
      </c>
      <c r="E1274">
        <v>2374.9176276771004</v>
      </c>
      <c r="F1274">
        <v>1805.8978583196047</v>
      </c>
      <c r="G1274">
        <v>2367.9489291598024</v>
      </c>
      <c r="H1274">
        <v>1915.8072487644151</v>
      </c>
      <c r="O1274" s="15"/>
    </row>
    <row r="1275" spans="4:15">
      <c r="D1275" s="15">
        <v>132035</v>
      </c>
      <c r="E1275">
        <v>2374.8930921052633</v>
      </c>
      <c r="F1275">
        <v>1805.8881578947369</v>
      </c>
      <c r="G1275">
        <v>2367.9194078947367</v>
      </c>
      <c r="H1275">
        <v>1915.7894736842106</v>
      </c>
      <c r="O1275" s="15"/>
    </row>
    <row r="1276" spans="4:15">
      <c r="D1276" s="15">
        <v>132040</v>
      </c>
      <c r="E1276">
        <v>2374.8768472906404</v>
      </c>
      <c r="F1276">
        <v>1805.8784893267652</v>
      </c>
      <c r="G1276">
        <v>2367.8899835796387</v>
      </c>
      <c r="H1276">
        <v>1915.7717569786535</v>
      </c>
      <c r="O1276" s="15"/>
    </row>
    <row r="1277" spans="4:15">
      <c r="D1277" s="15">
        <v>132045</v>
      </c>
      <c r="E1277">
        <v>2374.8606557377047</v>
      </c>
      <c r="F1277">
        <v>1805.8688524590164</v>
      </c>
      <c r="G1277">
        <v>2367.8606557377047</v>
      </c>
      <c r="H1277">
        <v>1915.7540983606557</v>
      </c>
      <c r="O1277" s="15"/>
    </row>
    <row r="1278" spans="4:15">
      <c r="D1278" s="15">
        <v>132050</v>
      </c>
      <c r="E1278">
        <v>2374.8445171849426</v>
      </c>
      <c r="F1278">
        <v>1805.8592471358429</v>
      </c>
      <c r="G1278">
        <v>2367.8314238952535</v>
      </c>
      <c r="H1278">
        <v>1915.7364975450082</v>
      </c>
      <c r="O1278" s="15"/>
    </row>
    <row r="1279" spans="4:15">
      <c r="D1279" s="15">
        <v>132055</v>
      </c>
      <c r="E1279">
        <v>2374.8284313725489</v>
      </c>
      <c r="F1279">
        <v>1805.8496732026144</v>
      </c>
      <c r="G1279">
        <v>2367.8022875816991</v>
      </c>
      <c r="H1279">
        <v>1915.7271241830065</v>
      </c>
      <c r="O1279" s="15"/>
    </row>
    <row r="1280" spans="4:15">
      <c r="D1280" s="15">
        <v>132100</v>
      </c>
      <c r="E1280">
        <v>2374.8042414355627</v>
      </c>
      <c r="F1280">
        <v>1805.8401305057096</v>
      </c>
      <c r="G1280">
        <v>2367.773246329527</v>
      </c>
      <c r="H1280">
        <v>1915.7177814029365</v>
      </c>
      <c r="O1280" s="15"/>
    </row>
    <row r="1281" spans="4:15">
      <c r="D1281" s="15">
        <v>132105</v>
      </c>
      <c r="E1281">
        <v>2374.7801302931598</v>
      </c>
      <c r="F1281">
        <v>1805.8306188925083</v>
      </c>
      <c r="G1281">
        <v>2367.744299674267</v>
      </c>
      <c r="H1281">
        <v>1915.7084690553745</v>
      </c>
      <c r="O1281" s="15"/>
    </row>
    <row r="1282" spans="4:15">
      <c r="D1282" s="15">
        <v>132110</v>
      </c>
      <c r="E1282">
        <v>2374.7560975609758</v>
      </c>
      <c r="F1282">
        <v>1805.821138211382</v>
      </c>
      <c r="G1282">
        <v>2367.7154471544713</v>
      </c>
      <c r="H1282">
        <v>1915.6910569105692</v>
      </c>
      <c r="O1282" s="15"/>
    </row>
    <row r="1283" spans="4:15">
      <c r="D1283" s="15">
        <v>132115</v>
      </c>
      <c r="E1283">
        <v>2374.7402597402597</v>
      </c>
      <c r="F1283">
        <v>1805.8116883116884</v>
      </c>
      <c r="G1283">
        <v>2367.6866883116882</v>
      </c>
      <c r="H1283">
        <v>1915.6818181818182</v>
      </c>
      <c r="O1283" s="15"/>
    </row>
    <row r="1284" spans="4:15">
      <c r="D1284" s="15">
        <v>132120</v>
      </c>
      <c r="E1284">
        <v>2374.7244732576987</v>
      </c>
      <c r="F1284">
        <v>1805.8022690437601</v>
      </c>
      <c r="G1284">
        <v>2367.6580226904375</v>
      </c>
      <c r="H1284">
        <v>1915.6726094003241</v>
      </c>
      <c r="O1284" s="15"/>
    </row>
    <row r="1285" spans="4:15">
      <c r="D1285" s="15">
        <v>132125</v>
      </c>
      <c r="E1285">
        <v>2374.7087378640776</v>
      </c>
      <c r="F1285">
        <v>1805.7928802588997</v>
      </c>
      <c r="G1285">
        <v>2367.6294498381876</v>
      </c>
      <c r="H1285">
        <v>1915.6634304207121</v>
      </c>
      <c r="O1285" s="15"/>
    </row>
    <row r="1286" spans="4:15">
      <c r="D1286" s="15">
        <v>132130</v>
      </c>
      <c r="E1286">
        <v>2374.6930533117934</v>
      </c>
      <c r="F1286">
        <v>1805.7835218093699</v>
      </c>
      <c r="G1286">
        <v>2367.5928917609049</v>
      </c>
      <c r="H1286">
        <v>1915.6462035541194</v>
      </c>
      <c r="O1286" s="15"/>
    </row>
    <row r="1287" spans="4:15">
      <c r="D1287" s="15">
        <v>132135</v>
      </c>
      <c r="E1287">
        <v>2374.6774193548385</v>
      </c>
      <c r="F1287">
        <v>1805.7741935483871</v>
      </c>
      <c r="G1287">
        <v>2367.5564516129034</v>
      </c>
      <c r="H1287">
        <v>1915.6290322580646</v>
      </c>
      <c r="O1287" s="15"/>
    </row>
    <row r="1288" spans="4:15">
      <c r="D1288" s="15">
        <v>132140</v>
      </c>
      <c r="E1288">
        <v>2374.6618357487923</v>
      </c>
      <c r="F1288">
        <v>1805.7648953301127</v>
      </c>
      <c r="G1288">
        <v>2367.5201288244766</v>
      </c>
      <c r="H1288">
        <v>1915.6119162640903</v>
      </c>
      <c r="O1288" s="15"/>
    </row>
    <row r="1289" spans="4:15">
      <c r="D1289" s="15">
        <v>132145</v>
      </c>
      <c r="E1289">
        <v>2374.6463022508037</v>
      </c>
      <c r="F1289">
        <v>1805.7556270096463</v>
      </c>
      <c r="G1289">
        <v>2367.4839228295818</v>
      </c>
      <c r="H1289">
        <v>1915.5948553054661</v>
      </c>
      <c r="O1289" s="15"/>
    </row>
    <row r="1290" spans="4:15">
      <c r="D1290" s="15">
        <v>132150</v>
      </c>
      <c r="E1290">
        <v>2374.6308186195824</v>
      </c>
      <c r="F1290">
        <v>1805.7463884430176</v>
      </c>
      <c r="G1290">
        <v>2367.4478330658108</v>
      </c>
      <c r="H1290">
        <v>1915.577849117175</v>
      </c>
      <c r="O1290" s="15"/>
    </row>
    <row r="1291" spans="4:15">
      <c r="D1291" s="15">
        <v>132155</v>
      </c>
      <c r="E1291">
        <v>2374.6153846153848</v>
      </c>
      <c r="F1291">
        <v>1805.7371794871794</v>
      </c>
      <c r="G1291">
        <v>2367.4118589743589</v>
      </c>
      <c r="H1291">
        <v>1915.5689102564102</v>
      </c>
      <c r="O1291" s="15"/>
    </row>
    <row r="1292" spans="4:15">
      <c r="D1292" s="15">
        <v>132200</v>
      </c>
      <c r="E1292">
        <v>2374.6</v>
      </c>
      <c r="F1292">
        <v>1805.7280000000001</v>
      </c>
      <c r="G1292">
        <v>2367.3760000000002</v>
      </c>
      <c r="H1292">
        <v>1915.56</v>
      </c>
      <c r="O1292" s="15"/>
    </row>
    <row r="1293" spans="4:15">
      <c r="D1293" s="15">
        <v>132205</v>
      </c>
      <c r="E1293">
        <v>2374.584664536741</v>
      </c>
      <c r="F1293">
        <v>1805.7188498402556</v>
      </c>
      <c r="G1293">
        <v>2367.3402555910543</v>
      </c>
      <c r="H1293">
        <v>1915.5511182108626</v>
      </c>
      <c r="O1293" s="15"/>
    </row>
    <row r="1294" spans="4:15">
      <c r="D1294" s="15">
        <v>132210</v>
      </c>
      <c r="E1294">
        <v>2374.5693779904304</v>
      </c>
      <c r="F1294">
        <v>1805.7097288676237</v>
      </c>
      <c r="G1294">
        <v>2367.3125996810209</v>
      </c>
      <c r="H1294">
        <v>1915.5263157894738</v>
      </c>
      <c r="O1294" s="15"/>
    </row>
    <row r="1295" spans="4:15">
      <c r="D1295" s="15">
        <v>132215</v>
      </c>
      <c r="E1295">
        <v>2374.5541401273886</v>
      </c>
      <c r="F1295">
        <v>1805.7006369426751</v>
      </c>
      <c r="G1295">
        <v>2367.2850318471337</v>
      </c>
      <c r="H1295">
        <v>1915.501592356688</v>
      </c>
      <c r="O1295" s="15"/>
    </row>
    <row r="1296" spans="4:15">
      <c r="D1296" s="15">
        <v>132220</v>
      </c>
      <c r="E1296">
        <v>2374.5389507154214</v>
      </c>
      <c r="F1296">
        <v>1805.6915739268679</v>
      </c>
      <c r="G1296">
        <v>2367.2496025437204</v>
      </c>
      <c r="H1296">
        <v>1915.4848966613672</v>
      </c>
      <c r="O1296" s="15"/>
    </row>
    <row r="1297" spans="4:15">
      <c r="D1297" s="15">
        <v>132225</v>
      </c>
      <c r="E1297">
        <v>2374.5238095238096</v>
      </c>
      <c r="F1297">
        <v>1805.6746031746031</v>
      </c>
      <c r="G1297">
        <v>2367.2142857142858</v>
      </c>
      <c r="H1297">
        <v>1915.4603174603174</v>
      </c>
      <c r="O1297" s="15"/>
    </row>
    <row r="1298" spans="4:15">
      <c r="D1298" s="15">
        <v>132230</v>
      </c>
      <c r="E1298">
        <v>2374.5087163232965</v>
      </c>
      <c r="F1298">
        <v>1805.6576862123613</v>
      </c>
      <c r="G1298">
        <v>2367.1790808240889</v>
      </c>
      <c r="H1298">
        <v>1915.4358161648177</v>
      </c>
      <c r="O1298" s="15"/>
    </row>
    <row r="1299" spans="4:15">
      <c r="D1299" s="15">
        <v>132235</v>
      </c>
      <c r="E1299">
        <v>2374.493670886076</v>
      </c>
      <c r="F1299">
        <v>1805.6408227848101</v>
      </c>
      <c r="G1299">
        <v>2367.1439873417721</v>
      </c>
      <c r="H1299">
        <v>1915.4193037974683</v>
      </c>
      <c r="O1299" s="15"/>
    </row>
    <row r="1300" spans="4:15">
      <c r="D1300" s="15">
        <v>132240</v>
      </c>
      <c r="E1300">
        <v>2374.4786729857819</v>
      </c>
      <c r="F1300">
        <v>1805.6240126382306</v>
      </c>
      <c r="G1300">
        <v>2367.1090047393363</v>
      </c>
      <c r="H1300">
        <v>1915.3949447077409</v>
      </c>
      <c r="O1300" s="15"/>
    </row>
    <row r="1301" spans="4:15">
      <c r="D1301" s="15">
        <v>132245</v>
      </c>
      <c r="E1301">
        <v>2374.4637223974764</v>
      </c>
      <c r="F1301">
        <v>1805.6072555205046</v>
      </c>
      <c r="G1301">
        <v>2367.0741324921137</v>
      </c>
      <c r="H1301">
        <v>1915.3706624605679</v>
      </c>
      <c r="O1301" s="15"/>
    </row>
    <row r="1302" spans="4:15">
      <c r="D1302" s="15">
        <v>132250</v>
      </c>
      <c r="E1302">
        <v>2374.4566929133857</v>
      </c>
      <c r="F1302">
        <v>1805.5905511811025</v>
      </c>
      <c r="G1302">
        <v>2367.0393700787404</v>
      </c>
      <c r="H1302">
        <v>1915.3543307086613</v>
      </c>
      <c r="O1302" s="15"/>
    </row>
    <row r="1303" spans="4:15">
      <c r="D1303" s="15">
        <v>132255</v>
      </c>
      <c r="E1303">
        <v>2374.449685534591</v>
      </c>
      <c r="F1303">
        <v>1805.5738993710693</v>
      </c>
      <c r="G1303">
        <v>2367.0047169811319</v>
      </c>
      <c r="H1303">
        <v>1915.3301886792453</v>
      </c>
      <c r="O1303" s="15"/>
    </row>
    <row r="1304" spans="4:15">
      <c r="D1304" s="15">
        <v>132300</v>
      </c>
      <c r="E1304">
        <v>2374.4427001569857</v>
      </c>
      <c r="F1304">
        <v>1805.5651491365777</v>
      </c>
      <c r="G1304">
        <v>2366.9701726844582</v>
      </c>
      <c r="H1304">
        <v>1915.3139717425431</v>
      </c>
      <c r="O1304" s="15"/>
    </row>
    <row r="1305" spans="4:15">
      <c r="D1305" s="15">
        <v>132305</v>
      </c>
      <c r="E1305">
        <v>2374.435736677116</v>
      </c>
      <c r="F1305">
        <v>1805.5485893416928</v>
      </c>
      <c r="G1305">
        <v>2366.9278996865205</v>
      </c>
      <c r="H1305">
        <v>1915.2978056426332</v>
      </c>
      <c r="O1305" s="15"/>
    </row>
    <row r="1306" spans="4:15">
      <c r="D1306" s="15">
        <v>132310</v>
      </c>
      <c r="E1306">
        <v>2374.4287949921754</v>
      </c>
      <c r="F1306">
        <v>1805.5320813771518</v>
      </c>
      <c r="G1306">
        <v>2366.885758998435</v>
      </c>
      <c r="H1306">
        <v>1915.2738654147104</v>
      </c>
      <c r="O1306" s="15"/>
    </row>
    <row r="1307" spans="4:15">
      <c r="D1307" s="15">
        <v>132315</v>
      </c>
      <c r="E1307">
        <v>2374.421875</v>
      </c>
      <c r="F1307">
        <v>1805.5234375</v>
      </c>
      <c r="G1307">
        <v>2366.84375</v>
      </c>
      <c r="H1307">
        <v>1915.25</v>
      </c>
      <c r="O1307" s="15"/>
    </row>
    <row r="1308" spans="4:15">
      <c r="D1308" s="15">
        <v>132320</v>
      </c>
      <c r="E1308">
        <v>2374.4149765990642</v>
      </c>
      <c r="F1308">
        <v>1805.5070202808113</v>
      </c>
      <c r="G1308">
        <v>2366.8018720748828</v>
      </c>
      <c r="H1308">
        <v>1915.2262090483619</v>
      </c>
      <c r="O1308" s="15"/>
    </row>
    <row r="1309" spans="4:15">
      <c r="D1309" s="15">
        <v>132325</v>
      </c>
      <c r="E1309">
        <v>2374.4003115264795</v>
      </c>
      <c r="F1309">
        <v>1805.4906542056074</v>
      </c>
      <c r="G1309">
        <v>2366.7679127725855</v>
      </c>
      <c r="H1309">
        <v>1915.2102803738317</v>
      </c>
      <c r="O1309" s="15"/>
    </row>
    <row r="1310" spans="4:15">
      <c r="D1310" s="15">
        <v>132330</v>
      </c>
      <c r="E1310">
        <v>2374.3856920684293</v>
      </c>
      <c r="F1310">
        <v>1805.4743390357698</v>
      </c>
      <c r="G1310">
        <v>2366.7185069984448</v>
      </c>
      <c r="H1310">
        <v>1915.1866251944011</v>
      </c>
      <c r="O1310" s="15"/>
    </row>
    <row r="1311" spans="4:15">
      <c r="D1311" s="15">
        <v>132335</v>
      </c>
      <c r="E1311">
        <v>2374.3711180124224</v>
      </c>
      <c r="F1311">
        <v>1805.4580745341616</v>
      </c>
      <c r="G1311">
        <v>2366.6692546583849</v>
      </c>
      <c r="H1311">
        <v>1915.1630434782608</v>
      </c>
      <c r="O1311" s="15"/>
    </row>
    <row r="1312" spans="4:15">
      <c r="D1312" s="15">
        <v>132340</v>
      </c>
      <c r="E1312">
        <v>2374.3565891472867</v>
      </c>
      <c r="F1312">
        <v>1805.4418604651162</v>
      </c>
      <c r="G1312">
        <v>2366.6201550387595</v>
      </c>
      <c r="H1312">
        <v>1915.1395348837209</v>
      </c>
      <c r="O1312" s="15"/>
    </row>
    <row r="1313" spans="3:15">
      <c r="D1313" s="15">
        <v>132345</v>
      </c>
      <c r="E1313">
        <v>2374.3421052631579</v>
      </c>
      <c r="F1313">
        <v>1805.4256965944273</v>
      </c>
      <c r="G1313">
        <v>2366.5712074303406</v>
      </c>
      <c r="H1313">
        <v>1915.1160990712074</v>
      </c>
      <c r="O1313" s="15"/>
    </row>
    <row r="1314" spans="3:15">
      <c r="D1314" s="15">
        <v>132350</v>
      </c>
      <c r="E1314">
        <v>2374.3276661514683</v>
      </c>
      <c r="F1314">
        <v>1805.4095826893354</v>
      </c>
      <c r="G1314">
        <v>2366.5224111282846</v>
      </c>
      <c r="H1314">
        <v>1915.0927357032458</v>
      </c>
      <c r="O1314" s="15"/>
    </row>
    <row r="1315" spans="3:15">
      <c r="D1315" s="15">
        <v>132355</v>
      </c>
      <c r="E1315">
        <v>2374.3132716049381</v>
      </c>
      <c r="F1315">
        <v>1805.3935185185185</v>
      </c>
      <c r="G1315">
        <v>2366.4737654320988</v>
      </c>
      <c r="H1315">
        <v>1915.0771604938273</v>
      </c>
      <c r="O1315" s="15"/>
    </row>
    <row r="1316" spans="3:15">
      <c r="D1316" s="15">
        <v>132400</v>
      </c>
      <c r="E1316">
        <v>2374.2912172573187</v>
      </c>
      <c r="F1316">
        <v>1805.3852080123268</v>
      </c>
      <c r="G1316">
        <v>2366.4252696456088</v>
      </c>
      <c r="H1316">
        <v>1915.0539291217258</v>
      </c>
      <c r="O1316" s="15"/>
    </row>
    <row r="1317" spans="3:15">
      <c r="D1317" s="15">
        <v>132405</v>
      </c>
      <c r="E1317">
        <v>2374.2692307692309</v>
      </c>
      <c r="F1317">
        <v>1805.376923076923</v>
      </c>
      <c r="G1317">
        <v>2366.3923076923079</v>
      </c>
      <c r="H1317">
        <v>1915.0307692307692</v>
      </c>
      <c r="O1317" s="15"/>
    </row>
    <row r="1318" spans="3:15">
      <c r="D1318" s="15">
        <v>132410</v>
      </c>
      <c r="E1318">
        <v>2374.2473118279568</v>
      </c>
      <c r="F1318">
        <v>1805.3609831029187</v>
      </c>
      <c r="G1318">
        <v>2366.3671274961598</v>
      </c>
      <c r="H1318">
        <v>1915.0153609831029</v>
      </c>
      <c r="O1318" s="15"/>
    </row>
    <row r="1319" spans="3:15">
      <c r="D1319" s="15">
        <v>132415</v>
      </c>
      <c r="E1319">
        <v>2374.2407975460123</v>
      </c>
      <c r="F1319">
        <v>1805.3450920245398</v>
      </c>
      <c r="G1319">
        <v>2366.3343558282209</v>
      </c>
      <c r="H1319">
        <v>1914.9923312883436</v>
      </c>
      <c r="O1319" s="15"/>
    </row>
    <row r="1320" spans="3:15">
      <c r="D1320" s="15">
        <v>132420</v>
      </c>
      <c r="E1320">
        <v>2374.2266462480857</v>
      </c>
      <c r="F1320">
        <v>1805.3292496171516</v>
      </c>
      <c r="G1320">
        <v>2366.3016845329248</v>
      </c>
      <c r="H1320">
        <v>1914.9693721286371</v>
      </c>
      <c r="O1320" s="15"/>
    </row>
    <row r="1321" spans="3:15">
      <c r="D1321" s="15">
        <v>132425</v>
      </c>
      <c r="E1321">
        <v>2374.2125382262998</v>
      </c>
      <c r="F1321">
        <v>1805.3134556574923</v>
      </c>
      <c r="G1321">
        <v>2366.2691131498473</v>
      </c>
      <c r="H1321">
        <v>1914.9464831804282</v>
      </c>
      <c r="O1321" s="15"/>
    </row>
    <row r="1322" spans="3:15">
      <c r="D1322" s="15">
        <v>132430</v>
      </c>
      <c r="E1322">
        <v>2374.2061068702292</v>
      </c>
      <c r="F1322">
        <v>1805.2977099236641</v>
      </c>
      <c r="G1322">
        <v>2366.2442748091603</v>
      </c>
      <c r="H1322">
        <v>1914.9312977099237</v>
      </c>
      <c r="O1322" s="15"/>
    </row>
    <row r="1323" spans="3:15">
      <c r="D1323" s="15">
        <v>132435</v>
      </c>
      <c r="E1323">
        <v>2374.1996951219512</v>
      </c>
      <c r="F1323">
        <v>1805.282012195122</v>
      </c>
      <c r="G1323">
        <v>2366.2118902439024</v>
      </c>
      <c r="H1323">
        <v>1914.9085365853659</v>
      </c>
      <c r="O1323" s="15"/>
    </row>
    <row r="1324" spans="3:15">
      <c r="D1324" s="15">
        <v>132440</v>
      </c>
      <c r="E1324">
        <v>2374.1933028919329</v>
      </c>
      <c r="F1324">
        <v>1805.2663622526636</v>
      </c>
      <c r="G1324">
        <v>2366.1796042617962</v>
      </c>
      <c r="H1324">
        <v>1914.8934550989345</v>
      </c>
      <c r="O1324" s="15"/>
    </row>
    <row r="1325" spans="3:15">
      <c r="D1325" s="15">
        <v>132445</v>
      </c>
      <c r="E1325">
        <v>2374.1793313069907</v>
      </c>
      <c r="F1325">
        <v>1805.2507598784196</v>
      </c>
      <c r="G1325">
        <v>2366.1626139817631</v>
      </c>
      <c r="H1325">
        <v>1914.8708206686931</v>
      </c>
      <c r="O1325" s="15"/>
    </row>
    <row r="1326" spans="3:15">
      <c r="D1326" s="15">
        <v>132450</v>
      </c>
      <c r="E1326">
        <v>2374.1654021244308</v>
      </c>
      <c r="F1326">
        <v>1805.2427921092565</v>
      </c>
      <c r="G1326">
        <v>2366.145675265554</v>
      </c>
      <c r="H1326">
        <v>1914.8558421851289</v>
      </c>
      <c r="O1326" s="15"/>
    </row>
    <row r="1327" spans="3:15">
      <c r="D1327" s="15">
        <v>132455</v>
      </c>
      <c r="E1327">
        <v>2374.151515151515</v>
      </c>
      <c r="F1327">
        <v>1805.2272727272727</v>
      </c>
      <c r="G1327">
        <v>2366.128787878788</v>
      </c>
      <c r="H1327">
        <v>1914.8333333333333</v>
      </c>
      <c r="O1327" s="15"/>
    </row>
    <row r="1328" spans="3:15">
      <c r="C1328" t="s">
        <v>2703</v>
      </c>
      <c r="D1328" s="15">
        <v>133100</v>
      </c>
      <c r="E1328">
        <v>2374.1452344931922</v>
      </c>
      <c r="O1328" s="15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T55"/>
  <sheetViews>
    <sheetView topLeftCell="A4" zoomScale="85" zoomScaleNormal="85" workbookViewId="0">
      <selection activeCell="J25" sqref="J25"/>
    </sheetView>
  </sheetViews>
  <sheetFormatPr defaultRowHeight="16.5"/>
  <cols>
    <col min="1" max="1" width="14" bestFit="1" customWidth="1"/>
    <col min="2" max="2" width="11.25" bestFit="1" customWidth="1"/>
    <col min="3" max="3" width="14.5" bestFit="1" customWidth="1"/>
    <col min="4" max="5" width="11.25" bestFit="1" customWidth="1"/>
    <col min="6" max="6" width="13.5" bestFit="1" customWidth="1"/>
    <col min="7" max="7" width="29.5" bestFit="1" customWidth="1"/>
    <col min="8" max="8" width="26.125" bestFit="1" customWidth="1"/>
    <col min="9" max="9" width="12.125" bestFit="1" customWidth="1"/>
    <col min="10" max="10" width="16.5" bestFit="1" customWidth="1"/>
  </cols>
  <sheetData>
    <row r="1" spans="1:20">
      <c r="A1" s="215" t="s">
        <v>15</v>
      </c>
      <c r="B1" s="216"/>
      <c r="C1" s="216"/>
      <c r="D1" s="216"/>
      <c r="E1" s="216"/>
      <c r="F1" s="216"/>
      <c r="G1" s="216"/>
      <c r="H1" s="217"/>
    </row>
    <row r="2" spans="1:20">
      <c r="A2" s="22"/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s="23" t="s">
        <v>22</v>
      </c>
    </row>
    <row r="3" spans="1:20">
      <c r="A3" s="22" t="s">
        <v>23</v>
      </c>
      <c r="B3" t="s">
        <v>24</v>
      </c>
      <c r="C3" t="s">
        <v>25</v>
      </c>
      <c r="D3" t="s">
        <v>26</v>
      </c>
      <c r="E3">
        <v>0</v>
      </c>
      <c r="F3" t="s">
        <v>27</v>
      </c>
      <c r="G3" s="24" t="s">
        <v>28</v>
      </c>
      <c r="H3" s="23" t="s">
        <v>29</v>
      </c>
    </row>
    <row r="4" spans="1:20">
      <c r="A4" s="22" t="s">
        <v>30</v>
      </c>
      <c r="B4" t="s">
        <v>31</v>
      </c>
      <c r="C4" t="s">
        <v>32</v>
      </c>
      <c r="D4" t="s">
        <v>26</v>
      </c>
      <c r="E4">
        <v>0</v>
      </c>
      <c r="F4" t="s">
        <v>27</v>
      </c>
      <c r="G4" s="24" t="s">
        <v>33</v>
      </c>
      <c r="H4" s="23" t="s">
        <v>34</v>
      </c>
    </row>
    <row r="5" spans="1:20">
      <c r="A5" s="22" t="s">
        <v>35</v>
      </c>
      <c r="B5" t="s">
        <v>31</v>
      </c>
      <c r="C5" t="s">
        <v>36</v>
      </c>
      <c r="F5" t="s">
        <v>37</v>
      </c>
      <c r="G5" s="24" t="s">
        <v>38</v>
      </c>
      <c r="H5" s="23" t="s">
        <v>39</v>
      </c>
    </row>
    <row r="6" spans="1:20" ht="17.25" thickBot="1">
      <c r="A6" s="25" t="s">
        <v>40</v>
      </c>
      <c r="B6" s="26" t="s">
        <v>31</v>
      </c>
      <c r="C6" s="26" t="s">
        <v>41</v>
      </c>
      <c r="D6" s="26"/>
      <c r="E6" s="26"/>
      <c r="F6" s="26" t="s">
        <v>42</v>
      </c>
      <c r="G6" s="27" t="s">
        <v>43</v>
      </c>
      <c r="H6" s="28" t="s">
        <v>44</v>
      </c>
    </row>
    <row r="7" spans="1:20">
      <c r="A7" s="29" t="s">
        <v>45</v>
      </c>
      <c r="B7" s="30" t="s">
        <v>46</v>
      </c>
      <c r="C7" s="29" t="s">
        <v>47</v>
      </c>
      <c r="D7" s="30" t="s">
        <v>46</v>
      </c>
    </row>
    <row r="8" spans="1:20">
      <c r="A8" s="22">
        <v>1</v>
      </c>
      <c r="B8" s="23" t="s">
        <v>48</v>
      </c>
      <c r="C8" s="22" t="s">
        <v>49</v>
      </c>
      <c r="D8" s="23" t="s">
        <v>50</v>
      </c>
      <c r="E8" s="218" t="s">
        <v>51</v>
      </c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</row>
    <row r="9" spans="1:20">
      <c r="A9" s="22">
        <v>2</v>
      </c>
      <c r="B9" s="23" t="s">
        <v>52</v>
      </c>
      <c r="C9" s="22" t="s">
        <v>53</v>
      </c>
      <c r="D9" s="23" t="s">
        <v>37</v>
      </c>
      <c r="E9" s="219" t="s">
        <v>54</v>
      </c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</row>
    <row r="10" spans="1:20">
      <c r="A10" s="22">
        <v>3</v>
      </c>
      <c r="B10" s="23" t="s">
        <v>55</v>
      </c>
      <c r="C10" s="22" t="s">
        <v>56</v>
      </c>
      <c r="D10" s="23" t="s">
        <v>42</v>
      </c>
      <c r="E10" s="31" t="s">
        <v>57</v>
      </c>
      <c r="F10" s="31" t="s">
        <v>58</v>
      </c>
      <c r="G10" s="31" t="s">
        <v>37</v>
      </c>
      <c r="H10" s="31" t="s">
        <v>59</v>
      </c>
      <c r="I10" s="31" t="s">
        <v>60</v>
      </c>
      <c r="J10" s="31" t="s">
        <v>61</v>
      </c>
      <c r="K10" s="31" t="s">
        <v>62</v>
      </c>
      <c r="L10" s="31" t="s">
        <v>63</v>
      </c>
      <c r="M10" s="31" t="s">
        <v>64</v>
      </c>
      <c r="N10" s="31" t="s">
        <v>65</v>
      </c>
      <c r="O10" s="31" t="s">
        <v>66</v>
      </c>
      <c r="P10" s="31" t="s">
        <v>67</v>
      </c>
      <c r="Q10" s="31" t="s">
        <v>68</v>
      </c>
      <c r="R10" s="31" t="s">
        <v>69</v>
      </c>
      <c r="S10" s="31" t="s">
        <v>70</v>
      </c>
      <c r="T10" s="31" t="s">
        <v>71</v>
      </c>
    </row>
    <row r="11" spans="1:20" ht="17.25" thickBot="1">
      <c r="A11" s="22">
        <v>4</v>
      </c>
      <c r="B11" s="23" t="s">
        <v>72</v>
      </c>
      <c r="C11" s="22" t="s">
        <v>73</v>
      </c>
      <c r="D11" s="23" t="s">
        <v>74</v>
      </c>
      <c r="E11" s="32" t="s">
        <v>75</v>
      </c>
      <c r="F11" s="32" t="s">
        <v>49</v>
      </c>
      <c r="G11" s="32" t="s">
        <v>76</v>
      </c>
      <c r="H11" s="32" t="s">
        <v>77</v>
      </c>
      <c r="I11" s="32" t="s">
        <v>78</v>
      </c>
      <c r="J11" s="33" t="s">
        <v>79</v>
      </c>
      <c r="K11" s="34" t="s">
        <v>80</v>
      </c>
      <c r="L11" s="35" t="s">
        <v>6</v>
      </c>
      <c r="M11" s="36" t="s">
        <v>7</v>
      </c>
      <c r="N11" s="32" t="s">
        <v>8</v>
      </c>
      <c r="O11" s="32" t="s">
        <v>9</v>
      </c>
      <c r="P11" s="32" t="s">
        <v>10</v>
      </c>
      <c r="Q11" s="32" t="s">
        <v>11</v>
      </c>
      <c r="R11" s="32" t="s">
        <v>81</v>
      </c>
      <c r="S11" s="32" t="s">
        <v>13</v>
      </c>
      <c r="T11" s="32" t="s">
        <v>14</v>
      </c>
    </row>
    <row r="12" spans="1:20" ht="17.25" thickTop="1">
      <c r="A12" s="22">
        <v>5</v>
      </c>
      <c r="B12" s="23" t="s">
        <v>82</v>
      </c>
      <c r="C12" s="22" t="s">
        <v>79</v>
      </c>
      <c r="D12" s="23" t="s">
        <v>83</v>
      </c>
      <c r="E12" s="37"/>
      <c r="F12" s="38"/>
      <c r="G12" s="38"/>
      <c r="H12" s="38"/>
      <c r="I12" s="38"/>
      <c r="J12" s="39"/>
      <c r="K12" s="39"/>
      <c r="L12" s="40"/>
      <c r="M12" s="40"/>
      <c r="N12" s="38"/>
      <c r="O12" s="38"/>
      <c r="P12" s="38"/>
      <c r="Q12" s="38"/>
      <c r="R12" s="38"/>
      <c r="S12" s="38"/>
      <c r="T12" s="41"/>
    </row>
    <row r="13" spans="1:20">
      <c r="A13" s="22">
        <v>6</v>
      </c>
      <c r="B13" s="23" t="s">
        <v>84</v>
      </c>
      <c r="C13" s="22" t="s">
        <v>80</v>
      </c>
      <c r="D13" s="23" t="s">
        <v>85</v>
      </c>
      <c r="E13" s="42"/>
      <c r="F13" s="43"/>
      <c r="G13" s="43"/>
      <c r="H13" s="43"/>
      <c r="I13" s="43"/>
      <c r="J13" s="44"/>
      <c r="K13" s="44"/>
      <c r="L13" s="45"/>
      <c r="M13" s="45"/>
      <c r="N13" s="43"/>
      <c r="O13" s="43"/>
      <c r="P13" s="43"/>
      <c r="Q13" s="43"/>
      <c r="R13" s="43"/>
      <c r="S13" s="43"/>
      <c r="T13" s="46"/>
    </row>
    <row r="14" spans="1:20">
      <c r="A14" s="22">
        <v>7</v>
      </c>
      <c r="B14" s="23" t="s">
        <v>26</v>
      </c>
      <c r="C14" s="22" t="s">
        <v>6</v>
      </c>
      <c r="D14" s="23" t="s">
        <v>86</v>
      </c>
      <c r="E14" s="42"/>
      <c r="F14" s="43"/>
      <c r="G14" s="43"/>
      <c r="H14" s="43"/>
      <c r="I14" s="43"/>
      <c r="J14" s="44"/>
      <c r="K14" s="44"/>
      <c r="L14" s="45"/>
      <c r="M14" s="45"/>
      <c r="N14" s="43"/>
      <c r="O14" s="43"/>
      <c r="P14" s="43"/>
      <c r="Q14" s="43"/>
      <c r="R14" s="43"/>
      <c r="S14" s="43"/>
      <c r="T14" s="46"/>
    </row>
    <row r="15" spans="1:20">
      <c r="A15" s="22">
        <v>8</v>
      </c>
      <c r="B15" s="23" t="s">
        <v>87</v>
      </c>
      <c r="C15" s="22" t="s">
        <v>7</v>
      </c>
      <c r="D15" s="23" t="s">
        <v>88</v>
      </c>
      <c r="E15" s="42"/>
      <c r="F15" s="43"/>
      <c r="G15" s="43"/>
      <c r="H15" s="43"/>
      <c r="I15" s="43"/>
      <c r="J15" s="44"/>
      <c r="K15" s="44"/>
      <c r="L15" s="45"/>
      <c r="M15" s="45"/>
      <c r="N15" s="43"/>
      <c r="O15" s="43"/>
      <c r="P15" s="43"/>
      <c r="Q15" s="43"/>
      <c r="R15" s="43"/>
      <c r="S15" s="43"/>
      <c r="T15" s="46"/>
    </row>
    <row r="16" spans="1:20">
      <c r="A16" s="22">
        <v>9</v>
      </c>
      <c r="B16" s="23" t="s">
        <v>89</v>
      </c>
      <c r="C16" s="22" t="s">
        <v>90</v>
      </c>
      <c r="D16" s="23" t="s">
        <v>91</v>
      </c>
      <c r="E16" s="42"/>
      <c r="F16" s="43"/>
      <c r="G16" s="43"/>
      <c r="H16" s="43"/>
      <c r="I16" s="43"/>
      <c r="J16" s="44"/>
      <c r="K16" s="44"/>
      <c r="L16" s="45"/>
      <c r="M16" s="45"/>
      <c r="N16" s="43"/>
      <c r="O16" s="43"/>
      <c r="P16" s="43"/>
      <c r="Q16" s="43"/>
      <c r="R16" s="43"/>
      <c r="S16" s="43"/>
      <c r="T16" s="46"/>
    </row>
    <row r="17" spans="1:20">
      <c r="A17" s="22">
        <v>10</v>
      </c>
      <c r="B17" s="23" t="s">
        <v>92</v>
      </c>
      <c r="C17" s="22" t="s">
        <v>9</v>
      </c>
      <c r="D17" s="23" t="s">
        <v>93</v>
      </c>
      <c r="E17" s="42"/>
      <c r="F17" s="43"/>
      <c r="G17" s="43"/>
      <c r="H17" s="43"/>
      <c r="I17" s="43"/>
      <c r="J17" s="44"/>
      <c r="K17" s="44"/>
      <c r="L17" s="45"/>
      <c r="M17" s="45"/>
      <c r="N17" s="43"/>
      <c r="O17" s="43"/>
      <c r="P17" s="43"/>
      <c r="Q17" s="43"/>
      <c r="R17" s="43"/>
      <c r="S17" s="43"/>
      <c r="T17" s="46"/>
    </row>
    <row r="18" spans="1:20">
      <c r="A18" s="22">
        <v>11</v>
      </c>
      <c r="B18" s="23" t="s">
        <v>94</v>
      </c>
      <c r="C18" s="22" t="s">
        <v>10</v>
      </c>
      <c r="D18" s="23" t="s">
        <v>95</v>
      </c>
      <c r="E18" s="42"/>
      <c r="F18" s="43"/>
      <c r="G18" s="43"/>
      <c r="H18" s="43"/>
      <c r="I18" s="43"/>
      <c r="J18" s="44"/>
      <c r="K18" s="44"/>
      <c r="L18" s="45"/>
      <c r="M18" s="45"/>
      <c r="N18" s="43"/>
      <c r="O18" s="43"/>
      <c r="P18" s="43"/>
      <c r="Q18" s="43"/>
      <c r="R18" s="43"/>
      <c r="S18" s="43"/>
      <c r="T18" s="46"/>
    </row>
    <row r="19" spans="1:20">
      <c r="A19" s="22">
        <v>12</v>
      </c>
      <c r="B19" s="23" t="s">
        <v>96</v>
      </c>
      <c r="C19" s="22" t="s">
        <v>11</v>
      </c>
      <c r="D19" s="23" t="s">
        <v>97</v>
      </c>
      <c r="E19" s="42"/>
      <c r="F19" s="43"/>
      <c r="G19" s="43"/>
      <c r="H19" s="43"/>
      <c r="I19" s="43"/>
      <c r="J19" s="44"/>
      <c r="K19" s="44"/>
      <c r="L19" s="45"/>
      <c r="M19" s="45"/>
      <c r="N19" s="43"/>
      <c r="O19" s="43"/>
      <c r="P19" s="43"/>
      <c r="Q19" s="43"/>
      <c r="R19" s="43"/>
      <c r="S19" s="43"/>
      <c r="T19" s="46"/>
    </row>
    <row r="20" spans="1:20">
      <c r="A20" s="22" t="s">
        <v>98</v>
      </c>
      <c r="B20" s="23" t="s">
        <v>99</v>
      </c>
      <c r="C20" s="22" t="s">
        <v>81</v>
      </c>
      <c r="D20" s="23" t="s">
        <v>100</v>
      </c>
      <c r="E20" s="42"/>
      <c r="F20" s="43"/>
      <c r="G20" s="43"/>
      <c r="H20" s="43"/>
      <c r="I20" s="43"/>
      <c r="J20" s="44"/>
      <c r="K20" s="44"/>
      <c r="L20" s="45"/>
      <c r="M20" s="45"/>
      <c r="N20" s="43"/>
      <c r="O20" s="43"/>
      <c r="P20" s="43"/>
      <c r="Q20" s="43"/>
      <c r="R20" s="43"/>
      <c r="S20" s="43"/>
      <c r="T20" s="46"/>
    </row>
    <row r="21" spans="1:20">
      <c r="A21" s="22" t="s">
        <v>101</v>
      </c>
      <c r="B21" s="23" t="s">
        <v>102</v>
      </c>
      <c r="C21" s="22" t="s">
        <v>13</v>
      </c>
      <c r="D21" s="23" t="s">
        <v>103</v>
      </c>
      <c r="E21" s="42"/>
      <c r="F21" s="43"/>
      <c r="G21" s="43"/>
      <c r="H21" s="43"/>
      <c r="I21" s="43"/>
      <c r="J21" s="44"/>
      <c r="K21" s="44"/>
      <c r="L21" s="45"/>
      <c r="M21" s="45"/>
      <c r="N21" s="43"/>
      <c r="O21" s="43"/>
      <c r="P21" s="43"/>
      <c r="Q21" s="43"/>
      <c r="R21" s="43"/>
      <c r="S21" s="43"/>
      <c r="T21" s="46"/>
    </row>
    <row r="22" spans="1:20">
      <c r="A22" s="22" t="s">
        <v>104</v>
      </c>
      <c r="B22" s="23" t="s">
        <v>99</v>
      </c>
      <c r="C22" s="22" t="s">
        <v>105</v>
      </c>
      <c r="D22" s="23" t="s">
        <v>106</v>
      </c>
      <c r="E22" s="42"/>
      <c r="F22" s="43"/>
      <c r="G22" s="43"/>
      <c r="H22" s="43"/>
      <c r="I22" s="43"/>
      <c r="J22" s="44"/>
      <c r="K22" s="44"/>
      <c r="L22" s="45"/>
      <c r="M22" s="45"/>
      <c r="N22" s="43"/>
      <c r="O22" s="43"/>
      <c r="P22" s="43"/>
      <c r="Q22" s="43"/>
      <c r="R22" s="43"/>
      <c r="S22" s="43"/>
      <c r="T22" s="46"/>
    </row>
    <row r="23" spans="1:20">
      <c r="A23" s="22" t="s">
        <v>107</v>
      </c>
      <c r="B23" s="23" t="s">
        <v>99</v>
      </c>
      <c r="C23" s="22" t="s">
        <v>108</v>
      </c>
      <c r="D23" s="23" t="s">
        <v>71</v>
      </c>
      <c r="E23" s="42"/>
      <c r="F23" s="43"/>
      <c r="G23" s="43"/>
      <c r="H23" s="43"/>
      <c r="I23" s="43"/>
      <c r="J23" s="44"/>
      <c r="K23" s="44"/>
      <c r="L23" s="45"/>
      <c r="M23" s="45"/>
      <c r="N23" s="43"/>
      <c r="O23" s="43"/>
      <c r="P23" s="43"/>
      <c r="Q23" s="43"/>
      <c r="R23" s="43"/>
      <c r="S23" s="43"/>
      <c r="T23" s="46"/>
    </row>
    <row r="24" spans="1:20">
      <c r="A24" s="22" t="s">
        <v>109</v>
      </c>
      <c r="B24" s="23" t="s">
        <v>102</v>
      </c>
      <c r="C24" s="22" t="s">
        <v>110</v>
      </c>
      <c r="D24" s="23" t="s">
        <v>71</v>
      </c>
      <c r="E24" s="42"/>
      <c r="F24" s="43"/>
      <c r="G24" s="43"/>
      <c r="H24" s="43"/>
      <c r="I24" s="43"/>
      <c r="J24" s="44"/>
      <c r="K24" s="44"/>
      <c r="L24" s="45"/>
      <c r="M24" s="45"/>
      <c r="N24" s="43"/>
      <c r="O24" s="43"/>
      <c r="P24" s="43"/>
      <c r="Q24" s="43"/>
      <c r="R24" s="43"/>
      <c r="S24" s="43"/>
      <c r="T24" s="46"/>
    </row>
    <row r="25" spans="1:20">
      <c r="A25" s="22"/>
      <c r="B25" s="23"/>
      <c r="C25" s="22" t="s">
        <v>111</v>
      </c>
      <c r="D25" s="23" t="s">
        <v>112</v>
      </c>
      <c r="E25" s="42"/>
      <c r="F25" s="43"/>
      <c r="G25" s="43"/>
      <c r="H25" s="43"/>
      <c r="I25" s="43"/>
      <c r="J25" s="44"/>
      <c r="K25" s="44"/>
      <c r="L25" s="45"/>
      <c r="M25" s="45"/>
      <c r="N25" s="43"/>
      <c r="O25" s="43"/>
      <c r="P25" s="43"/>
      <c r="Q25" s="43"/>
      <c r="R25" s="43"/>
      <c r="S25" s="43"/>
      <c r="T25" s="46"/>
    </row>
    <row r="26" spans="1:20">
      <c r="A26" s="22"/>
      <c r="B26" s="23"/>
      <c r="C26" s="22" t="s">
        <v>113</v>
      </c>
      <c r="D26" s="23" t="s">
        <v>114</v>
      </c>
      <c r="E26" s="42"/>
      <c r="F26" s="43"/>
      <c r="G26" s="43"/>
      <c r="H26" s="43"/>
      <c r="I26" s="43"/>
      <c r="J26" s="44"/>
      <c r="K26" s="44"/>
      <c r="L26" s="45"/>
      <c r="M26" s="45"/>
      <c r="N26" s="43"/>
      <c r="O26" s="43"/>
      <c r="P26" s="43"/>
      <c r="Q26" s="43"/>
      <c r="R26" s="43"/>
      <c r="S26" s="43"/>
      <c r="T26" s="46"/>
    </row>
    <row r="27" spans="1:20">
      <c r="A27" s="22"/>
      <c r="B27" s="23"/>
      <c r="C27" s="22" t="s">
        <v>115</v>
      </c>
      <c r="D27" s="23" t="s">
        <v>116</v>
      </c>
      <c r="E27" s="42"/>
      <c r="F27" s="43"/>
      <c r="G27" s="43"/>
      <c r="H27" s="43"/>
      <c r="I27" s="43"/>
      <c r="J27" s="44"/>
      <c r="K27" s="44"/>
      <c r="L27" s="45"/>
      <c r="M27" s="45"/>
      <c r="N27" s="43"/>
      <c r="O27" s="43"/>
      <c r="P27" s="43"/>
      <c r="Q27" s="43"/>
      <c r="R27" s="43"/>
      <c r="S27" s="43"/>
      <c r="T27" s="46"/>
    </row>
    <row r="28" spans="1:20">
      <c r="A28" s="22"/>
      <c r="B28" s="23"/>
      <c r="C28" s="22" t="s">
        <v>117</v>
      </c>
      <c r="D28" s="23" t="s">
        <v>118</v>
      </c>
      <c r="E28" s="42"/>
      <c r="F28" s="43"/>
      <c r="G28" s="43"/>
      <c r="H28" s="43"/>
      <c r="I28" s="43"/>
      <c r="J28" s="44"/>
      <c r="K28" s="44"/>
      <c r="L28" s="45"/>
      <c r="M28" s="45"/>
      <c r="N28" s="43"/>
      <c r="O28" s="43"/>
      <c r="P28" s="43"/>
      <c r="Q28" s="43"/>
      <c r="R28" s="43"/>
      <c r="S28" s="43"/>
      <c r="T28" s="46"/>
    </row>
    <row r="29" spans="1:20">
      <c r="A29" s="22"/>
      <c r="B29" s="23"/>
      <c r="C29" s="22" t="s">
        <v>119</v>
      </c>
      <c r="D29" s="23" t="s">
        <v>120</v>
      </c>
      <c r="E29" s="42"/>
      <c r="F29" s="43"/>
      <c r="G29" s="43"/>
      <c r="H29" s="43"/>
      <c r="I29" s="43"/>
      <c r="J29" s="44"/>
      <c r="K29" s="44"/>
      <c r="L29" s="45"/>
      <c r="M29" s="45"/>
      <c r="N29" s="43"/>
      <c r="O29" s="43"/>
      <c r="P29" s="43"/>
      <c r="Q29" s="43"/>
      <c r="R29" s="43"/>
      <c r="S29" s="43"/>
      <c r="T29" s="46"/>
    </row>
    <row r="30" spans="1:20">
      <c r="A30" s="22"/>
      <c r="B30" s="23"/>
      <c r="C30" s="22" t="s">
        <v>121</v>
      </c>
      <c r="D30" s="23" t="s">
        <v>122</v>
      </c>
      <c r="E30" s="42"/>
      <c r="F30" s="43"/>
      <c r="G30" s="43"/>
      <c r="H30" s="43"/>
      <c r="I30" s="43"/>
      <c r="J30" s="44"/>
      <c r="K30" s="44"/>
      <c r="L30" s="45"/>
      <c r="M30" s="45"/>
      <c r="N30" s="43"/>
      <c r="O30" s="43"/>
      <c r="P30" s="43"/>
      <c r="Q30" s="43"/>
      <c r="R30" s="43"/>
      <c r="S30" s="43"/>
      <c r="T30" s="46"/>
    </row>
    <row r="31" spans="1:20" ht="17.25" thickBot="1">
      <c r="A31" s="22"/>
      <c r="B31" s="23"/>
      <c r="C31" s="22" t="s">
        <v>123</v>
      </c>
      <c r="D31" s="23" t="s">
        <v>124</v>
      </c>
      <c r="E31" s="47"/>
      <c r="F31" s="48"/>
      <c r="G31" s="48"/>
      <c r="H31" s="48"/>
      <c r="I31" s="48"/>
      <c r="J31" s="49"/>
      <c r="K31" s="49"/>
      <c r="L31" s="50"/>
      <c r="M31" s="50"/>
      <c r="N31" s="48"/>
      <c r="O31" s="48"/>
      <c r="P31" s="48"/>
      <c r="Q31" s="48"/>
      <c r="R31" s="48"/>
      <c r="S31" s="48"/>
      <c r="T31" s="51"/>
    </row>
    <row r="32" spans="1:20" ht="17.25" thickTop="1">
      <c r="A32" s="22"/>
      <c r="B32" s="23"/>
      <c r="C32" s="22" t="s">
        <v>125</v>
      </c>
      <c r="D32" s="23" t="s">
        <v>126</v>
      </c>
      <c r="E32" t="s">
        <v>127</v>
      </c>
    </row>
    <row r="33" spans="1:20">
      <c r="A33" s="22"/>
      <c r="B33" s="23"/>
      <c r="C33" s="22" t="s">
        <v>128</v>
      </c>
      <c r="D33" s="23" t="s">
        <v>129</v>
      </c>
      <c r="E33" s="31" t="s">
        <v>57</v>
      </c>
      <c r="F33" s="31" t="s">
        <v>58</v>
      </c>
      <c r="G33" s="31" t="s">
        <v>37</v>
      </c>
      <c r="H33" s="31" t="s">
        <v>59</v>
      </c>
      <c r="I33" s="31" t="s">
        <v>60</v>
      </c>
      <c r="J33" s="31" t="s">
        <v>61</v>
      </c>
      <c r="K33" s="31" t="s">
        <v>62</v>
      </c>
      <c r="L33" s="31" t="s">
        <v>63</v>
      </c>
      <c r="M33" s="31" t="s">
        <v>64</v>
      </c>
      <c r="N33" s="31" t="s">
        <v>65</v>
      </c>
      <c r="O33" s="31" t="s">
        <v>66</v>
      </c>
      <c r="P33" s="31" t="s">
        <v>67</v>
      </c>
      <c r="Q33" s="31" t="s">
        <v>68</v>
      </c>
      <c r="R33" s="31" t="s">
        <v>69</v>
      </c>
      <c r="S33" s="31" t="s">
        <v>70</v>
      </c>
      <c r="T33" s="31" t="s">
        <v>71</v>
      </c>
    </row>
    <row r="34" spans="1:20" ht="17.25" thickBot="1">
      <c r="A34" s="22"/>
      <c r="B34" s="23"/>
      <c r="C34" s="22" t="s">
        <v>130</v>
      </c>
      <c r="D34" s="23" t="s">
        <v>131</v>
      </c>
      <c r="E34" s="32" t="s">
        <v>75</v>
      </c>
      <c r="F34" s="32" t="s">
        <v>49</v>
      </c>
      <c r="G34" s="32" t="s">
        <v>76</v>
      </c>
      <c r="H34" s="32" t="s">
        <v>77</v>
      </c>
      <c r="I34" s="32" t="s">
        <v>78</v>
      </c>
      <c r="J34" s="33" t="s">
        <v>79</v>
      </c>
      <c r="K34" s="34" t="s">
        <v>80</v>
      </c>
      <c r="L34" s="35" t="s">
        <v>6</v>
      </c>
      <c r="M34" s="36" t="s">
        <v>7</v>
      </c>
      <c r="N34" s="32" t="s">
        <v>8</v>
      </c>
      <c r="O34" s="32" t="s">
        <v>9</v>
      </c>
      <c r="P34" s="32" t="s">
        <v>10</v>
      </c>
      <c r="Q34" s="32" t="s">
        <v>11</v>
      </c>
      <c r="R34" s="32" t="s">
        <v>81</v>
      </c>
      <c r="S34" s="32" t="s">
        <v>13</v>
      </c>
      <c r="T34" s="32" t="s">
        <v>14</v>
      </c>
    </row>
    <row r="35" spans="1:20" ht="17.25" thickTop="1">
      <c r="A35" s="22"/>
      <c r="B35" s="23"/>
      <c r="C35" s="22" t="s">
        <v>132</v>
      </c>
      <c r="D35" s="23" t="s">
        <v>133</v>
      </c>
      <c r="E35" s="37"/>
      <c r="F35" s="38"/>
      <c r="G35" s="38"/>
      <c r="H35" s="38"/>
      <c r="I35" s="38"/>
      <c r="J35" s="39"/>
      <c r="K35" s="39"/>
      <c r="L35" s="40"/>
      <c r="M35" s="40"/>
      <c r="N35" s="38"/>
      <c r="O35" s="38"/>
      <c r="P35" s="38"/>
      <c r="Q35" s="38"/>
      <c r="R35" s="38"/>
      <c r="S35" s="38"/>
      <c r="T35" s="41"/>
    </row>
    <row r="36" spans="1:20">
      <c r="A36" s="22"/>
      <c r="B36" s="23"/>
      <c r="C36" s="22" t="s">
        <v>134</v>
      </c>
      <c r="D36" s="23" t="s">
        <v>135</v>
      </c>
      <c r="E36" s="42"/>
      <c r="F36" s="43"/>
      <c r="G36" s="43"/>
      <c r="H36" s="43"/>
      <c r="I36" s="43"/>
      <c r="J36" s="44"/>
      <c r="K36" s="44"/>
      <c r="L36" s="45"/>
      <c r="M36" s="45"/>
      <c r="N36" s="43"/>
      <c r="O36" s="43"/>
      <c r="P36" s="43"/>
      <c r="Q36" s="43"/>
      <c r="R36" s="43"/>
      <c r="S36" s="43"/>
      <c r="T36" s="46"/>
    </row>
    <row r="37" spans="1:20">
      <c r="A37" s="22"/>
      <c r="B37" s="23"/>
      <c r="C37" s="22" t="s">
        <v>137</v>
      </c>
      <c r="D37" s="23" t="s">
        <v>138</v>
      </c>
      <c r="E37" s="42"/>
      <c r="F37" s="43"/>
      <c r="G37" s="43"/>
      <c r="H37" s="43"/>
      <c r="I37" s="43"/>
      <c r="J37" s="44"/>
      <c r="K37" s="44"/>
      <c r="L37" s="45"/>
      <c r="M37" s="45"/>
      <c r="N37" s="43"/>
      <c r="O37" s="43"/>
      <c r="P37" s="43"/>
      <c r="Q37" s="43"/>
      <c r="R37" s="43"/>
      <c r="S37" s="43"/>
      <c r="T37" s="46"/>
    </row>
    <row r="38" spans="1:20" ht="17.25" thickBot="1">
      <c r="A38" s="25"/>
      <c r="B38" s="28"/>
      <c r="C38" s="25" t="s">
        <v>139</v>
      </c>
      <c r="D38" s="28" t="s">
        <v>140</v>
      </c>
      <c r="E38" s="42"/>
      <c r="F38" s="43"/>
      <c r="G38" s="43"/>
      <c r="H38" s="43"/>
      <c r="I38" s="43"/>
      <c r="J38" s="44"/>
      <c r="K38" s="44"/>
      <c r="L38" s="45"/>
      <c r="M38" s="45"/>
      <c r="N38" s="43"/>
      <c r="O38" s="43"/>
      <c r="P38" s="43"/>
      <c r="Q38" s="43"/>
      <c r="R38" s="43"/>
      <c r="S38" s="43"/>
      <c r="T38" s="46"/>
    </row>
    <row r="39" spans="1:20">
      <c r="E39" s="42"/>
      <c r="F39" s="43"/>
      <c r="G39" s="43"/>
      <c r="H39" s="43"/>
      <c r="I39" s="43"/>
      <c r="J39" s="44"/>
      <c r="K39" s="44"/>
      <c r="L39" s="45"/>
      <c r="M39" s="45"/>
      <c r="N39" s="43"/>
      <c r="O39" s="43"/>
      <c r="P39" s="43"/>
      <c r="Q39" s="43"/>
      <c r="R39" s="43"/>
      <c r="S39" s="43"/>
      <c r="T39" s="46"/>
    </row>
    <row r="40" spans="1:20">
      <c r="E40" s="42"/>
      <c r="F40" s="43"/>
      <c r="G40" s="43"/>
      <c r="H40" s="43"/>
      <c r="I40" s="43"/>
      <c r="J40" s="44"/>
      <c r="K40" s="44"/>
      <c r="L40" s="45"/>
      <c r="M40" s="45"/>
      <c r="N40" s="43"/>
      <c r="O40" s="43"/>
      <c r="P40" s="43"/>
      <c r="Q40" s="43"/>
      <c r="R40" s="43"/>
      <c r="S40" s="43"/>
      <c r="T40" s="46"/>
    </row>
    <row r="41" spans="1:20">
      <c r="E41" s="42"/>
      <c r="F41" s="43"/>
      <c r="G41" s="43"/>
      <c r="H41" s="43"/>
      <c r="I41" s="43"/>
      <c r="J41" s="44"/>
      <c r="K41" s="44"/>
      <c r="L41" s="45"/>
      <c r="M41" s="45"/>
      <c r="N41" s="43"/>
      <c r="O41" s="43"/>
      <c r="P41" s="43"/>
      <c r="Q41" s="43"/>
      <c r="R41" s="43"/>
      <c r="S41" s="43"/>
      <c r="T41" s="46"/>
    </row>
    <row r="42" spans="1:20">
      <c r="E42" s="42"/>
      <c r="F42" s="43"/>
      <c r="G42" s="43"/>
      <c r="H42" s="43"/>
      <c r="I42" s="43"/>
      <c r="J42" s="44"/>
      <c r="K42" s="44"/>
      <c r="L42" s="45"/>
      <c r="M42" s="45"/>
      <c r="N42" s="43"/>
      <c r="O42" s="43"/>
      <c r="P42" s="43"/>
      <c r="Q42" s="43"/>
      <c r="R42" s="43"/>
      <c r="S42" s="43"/>
      <c r="T42" s="46"/>
    </row>
    <row r="43" spans="1:20">
      <c r="E43" s="42"/>
      <c r="F43" s="43"/>
      <c r="G43" s="43"/>
      <c r="H43" s="43"/>
      <c r="I43" s="43"/>
      <c r="J43" s="44"/>
      <c r="K43" s="44"/>
      <c r="L43" s="45"/>
      <c r="M43" s="45"/>
      <c r="N43" s="43"/>
      <c r="O43" s="43"/>
      <c r="P43" s="43"/>
      <c r="Q43" s="43"/>
      <c r="R43" s="43"/>
      <c r="S43" s="43"/>
      <c r="T43" s="46"/>
    </row>
    <row r="44" spans="1:20">
      <c r="E44" s="42"/>
      <c r="F44" s="43"/>
      <c r="G44" s="43"/>
      <c r="H44" s="43"/>
      <c r="I44" s="43"/>
      <c r="J44" s="44"/>
      <c r="K44" s="44"/>
      <c r="L44" s="45"/>
      <c r="M44" s="45"/>
      <c r="N44" s="43"/>
      <c r="O44" s="43"/>
      <c r="P44" s="43"/>
      <c r="Q44" s="43"/>
      <c r="R44" s="43"/>
      <c r="S44" s="43"/>
      <c r="T44" s="46"/>
    </row>
    <row r="45" spans="1:20">
      <c r="E45" s="42"/>
      <c r="F45" s="43"/>
      <c r="G45" s="43"/>
      <c r="H45" s="43"/>
      <c r="I45" s="43"/>
      <c r="J45" s="44"/>
      <c r="K45" s="44"/>
      <c r="L45" s="45"/>
      <c r="M45" s="45"/>
      <c r="N45" s="43"/>
      <c r="O45" s="43"/>
      <c r="P45" s="43"/>
      <c r="Q45" s="43"/>
      <c r="R45" s="43"/>
      <c r="S45" s="43"/>
      <c r="T45" s="46"/>
    </row>
    <row r="46" spans="1:20">
      <c r="E46" s="42"/>
      <c r="F46" s="43"/>
      <c r="G46" s="43"/>
      <c r="H46" s="43"/>
      <c r="I46" s="43"/>
      <c r="J46" s="44"/>
      <c r="K46" s="44"/>
      <c r="L46" s="45"/>
      <c r="M46" s="45"/>
      <c r="N46" s="43"/>
      <c r="O46" s="43"/>
      <c r="P46" s="43"/>
      <c r="Q46" s="43"/>
      <c r="R46" s="43"/>
      <c r="S46" s="43"/>
      <c r="T46" s="46"/>
    </row>
    <row r="47" spans="1:20">
      <c r="E47" s="42"/>
      <c r="F47" s="43"/>
      <c r="G47" s="43"/>
      <c r="H47" s="43"/>
      <c r="I47" s="43"/>
      <c r="J47" s="44"/>
      <c r="K47" s="44"/>
      <c r="L47" s="45"/>
      <c r="M47" s="45"/>
      <c r="N47" s="43"/>
      <c r="O47" s="43"/>
      <c r="P47" s="43"/>
      <c r="Q47" s="43"/>
      <c r="R47" s="43"/>
      <c r="S47" s="43"/>
      <c r="T47" s="46"/>
    </row>
    <row r="48" spans="1:20">
      <c r="E48" s="42"/>
      <c r="F48" s="43"/>
      <c r="G48" s="43"/>
      <c r="H48" s="43"/>
      <c r="I48" s="43"/>
      <c r="J48" s="44"/>
      <c r="K48" s="44"/>
      <c r="L48" s="45"/>
      <c r="M48" s="45"/>
      <c r="N48" s="43"/>
      <c r="O48" s="43"/>
      <c r="P48" s="43"/>
      <c r="Q48" s="43"/>
      <c r="R48" s="43"/>
      <c r="S48" s="43"/>
      <c r="T48" s="46"/>
    </row>
    <row r="49" spans="5:20">
      <c r="E49" s="42"/>
      <c r="F49" s="43"/>
      <c r="G49" s="43"/>
      <c r="H49" s="43"/>
      <c r="I49" s="43"/>
      <c r="J49" s="44"/>
      <c r="K49" s="44"/>
      <c r="L49" s="45"/>
      <c r="M49" s="45"/>
      <c r="N49" s="43"/>
      <c r="O49" s="43"/>
      <c r="P49" s="43"/>
      <c r="Q49" s="43"/>
      <c r="R49" s="43"/>
      <c r="S49" s="43"/>
      <c r="T49" s="46"/>
    </row>
    <row r="50" spans="5:20">
      <c r="E50" s="42"/>
      <c r="F50" s="43"/>
      <c r="G50" s="43"/>
      <c r="H50" s="43"/>
      <c r="I50" s="43"/>
      <c r="J50" s="44"/>
      <c r="K50" s="44"/>
      <c r="L50" s="45"/>
      <c r="M50" s="45"/>
      <c r="N50" s="43"/>
      <c r="O50" s="43"/>
      <c r="P50" s="43"/>
      <c r="Q50" s="43"/>
      <c r="R50" s="43"/>
      <c r="S50" s="43"/>
      <c r="T50" s="46"/>
    </row>
    <row r="51" spans="5:20">
      <c r="E51" s="42"/>
      <c r="F51" s="43"/>
      <c r="G51" s="43"/>
      <c r="H51" s="43"/>
      <c r="I51" s="43"/>
      <c r="J51" s="44"/>
      <c r="K51" s="44"/>
      <c r="L51" s="45"/>
      <c r="M51" s="45"/>
      <c r="N51" s="43"/>
      <c r="O51" s="43"/>
      <c r="P51" s="43"/>
      <c r="Q51" s="43"/>
      <c r="R51" s="43"/>
      <c r="S51" s="43"/>
      <c r="T51" s="46"/>
    </row>
    <row r="52" spans="5:20">
      <c r="E52" s="42"/>
      <c r="F52" s="43"/>
      <c r="G52" s="43"/>
      <c r="H52" s="43"/>
      <c r="I52" s="43"/>
      <c r="J52" s="44"/>
      <c r="K52" s="44"/>
      <c r="L52" s="45"/>
      <c r="M52" s="45"/>
      <c r="N52" s="43"/>
      <c r="O52" s="43"/>
      <c r="P52" s="43"/>
      <c r="Q52" s="43"/>
      <c r="R52" s="43"/>
      <c r="S52" s="43"/>
      <c r="T52" s="46"/>
    </row>
    <row r="53" spans="5:20">
      <c r="E53" s="42"/>
      <c r="F53" s="43"/>
      <c r="G53" s="43"/>
      <c r="H53" s="43"/>
      <c r="I53" s="43"/>
      <c r="J53" s="44"/>
      <c r="K53" s="44"/>
      <c r="L53" s="45"/>
      <c r="M53" s="45"/>
      <c r="N53" s="43"/>
      <c r="O53" s="43"/>
      <c r="P53" s="43"/>
      <c r="Q53" s="43"/>
      <c r="R53" s="43"/>
      <c r="S53" s="43"/>
      <c r="T53" s="46"/>
    </row>
    <row r="54" spans="5:20" ht="17.25" thickBot="1">
      <c r="E54" s="47"/>
      <c r="F54" s="48"/>
      <c r="G54" s="48"/>
      <c r="H54" s="48"/>
      <c r="I54" s="48"/>
      <c r="J54" s="49"/>
      <c r="K54" s="49"/>
      <c r="L54" s="50"/>
      <c r="M54" s="50"/>
      <c r="N54" s="48"/>
      <c r="O54" s="48"/>
      <c r="P54" s="48"/>
      <c r="Q54" s="48"/>
      <c r="R54" s="48"/>
      <c r="S54" s="48"/>
      <c r="T54" s="51"/>
    </row>
    <row r="55" spans="5:20" ht="17.25" thickTop="1"/>
  </sheetData>
  <mergeCells count="3">
    <mergeCell ref="A1:H1"/>
    <mergeCell ref="E8:T8"/>
    <mergeCell ref="E9:T9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N1195"/>
  <sheetViews>
    <sheetView zoomScale="85" zoomScaleNormal="85" workbookViewId="0">
      <pane ySplit="2" topLeftCell="A198" activePane="bottomLeft" state="frozen"/>
      <selection pane="bottomLeft" activeCell="D213" sqref="D213"/>
    </sheetView>
  </sheetViews>
  <sheetFormatPr defaultColWidth="11.25" defaultRowHeight="16.5"/>
  <cols>
    <col min="1" max="1" width="11.75" customWidth="1"/>
    <col min="2" max="2" width="65.75" customWidth="1"/>
    <col min="3" max="3" width="8.625" bestFit="1" customWidth="1"/>
    <col min="4" max="4" width="18.625" customWidth="1"/>
    <col min="5" max="5" width="6.125" bestFit="1" customWidth="1"/>
    <col min="6" max="6" width="8.25" bestFit="1" customWidth="1"/>
    <col min="7" max="7" width="7.625" customWidth="1"/>
    <col min="8" max="8" width="8.25" customWidth="1"/>
    <col min="9" max="9" width="7.5" customWidth="1"/>
    <col min="10" max="10" width="8.625" bestFit="1" customWidth="1"/>
    <col min="11" max="11" width="11.25" customWidth="1"/>
  </cols>
  <sheetData>
    <row r="1" spans="1:14" ht="16.7" customHeight="1">
      <c r="A1" s="220" t="s">
        <v>141</v>
      </c>
      <c r="B1" t="s">
        <v>142</v>
      </c>
      <c r="C1" s="220" t="s">
        <v>143</v>
      </c>
      <c r="D1" s="220" t="s">
        <v>144</v>
      </c>
      <c r="E1" s="219" t="s">
        <v>145</v>
      </c>
      <c r="F1" s="219"/>
      <c r="G1" s="219" t="s">
        <v>146</v>
      </c>
      <c r="H1" s="219"/>
      <c r="I1" s="219"/>
      <c r="J1" s="219" t="s">
        <v>147</v>
      </c>
    </row>
    <row r="2" spans="1:14">
      <c r="A2" s="219"/>
      <c r="C2" s="219"/>
      <c r="D2" s="219"/>
      <c r="E2" t="s">
        <v>148</v>
      </c>
      <c r="F2" t="s">
        <v>149</v>
      </c>
      <c r="G2" t="s">
        <v>150</v>
      </c>
      <c r="H2" t="s">
        <v>151</v>
      </c>
      <c r="I2" t="s">
        <v>152</v>
      </c>
      <c r="J2" s="219"/>
      <c r="L2" t="s">
        <v>153</v>
      </c>
      <c r="M2" t="s">
        <v>154</v>
      </c>
      <c r="N2" t="s">
        <v>155</v>
      </c>
    </row>
    <row r="3" spans="1:14">
      <c r="A3" t="s">
        <v>156</v>
      </c>
      <c r="B3" t="s">
        <v>157</v>
      </c>
      <c r="C3">
        <v>1303</v>
      </c>
      <c r="D3" t="s">
        <v>158</v>
      </c>
      <c r="E3" t="s">
        <v>159</v>
      </c>
      <c r="F3" t="s">
        <v>159</v>
      </c>
      <c r="G3" t="s">
        <v>160</v>
      </c>
      <c r="J3">
        <v>2000</v>
      </c>
      <c r="L3">
        <v>1</v>
      </c>
      <c r="M3" t="s">
        <v>161</v>
      </c>
      <c r="N3" t="s">
        <v>162</v>
      </c>
    </row>
    <row r="4" spans="1:14">
      <c r="A4" t="s">
        <v>163</v>
      </c>
      <c r="B4" t="s">
        <v>164</v>
      </c>
      <c r="C4">
        <v>2002</v>
      </c>
      <c r="D4" t="s">
        <v>165</v>
      </c>
      <c r="E4" t="s">
        <v>159</v>
      </c>
      <c r="F4" t="s">
        <v>159</v>
      </c>
      <c r="G4" t="s">
        <v>160</v>
      </c>
      <c r="J4">
        <v>2000</v>
      </c>
      <c r="L4">
        <v>2</v>
      </c>
      <c r="M4" t="s">
        <v>166</v>
      </c>
      <c r="N4" t="s">
        <v>167</v>
      </c>
    </row>
    <row r="5" spans="1:14">
      <c r="A5" t="s">
        <v>168</v>
      </c>
      <c r="B5" t="s">
        <v>169</v>
      </c>
      <c r="C5">
        <v>2303</v>
      </c>
      <c r="D5" t="s">
        <v>170</v>
      </c>
      <c r="E5" t="s">
        <v>159</v>
      </c>
      <c r="F5" t="s">
        <v>159</v>
      </c>
      <c r="G5" t="s">
        <v>160</v>
      </c>
      <c r="J5">
        <v>2000</v>
      </c>
      <c r="L5">
        <v>3</v>
      </c>
      <c r="M5" t="s">
        <v>171</v>
      </c>
      <c r="N5" t="s">
        <v>172</v>
      </c>
    </row>
    <row r="6" spans="1:14">
      <c r="A6" t="s">
        <v>173</v>
      </c>
      <c r="B6" t="s">
        <v>174</v>
      </c>
      <c r="C6">
        <v>2330</v>
      </c>
      <c r="D6" t="s">
        <v>175</v>
      </c>
      <c r="E6" t="s">
        <v>159</v>
      </c>
      <c r="F6" t="s">
        <v>159</v>
      </c>
      <c r="G6" t="s">
        <v>160</v>
      </c>
      <c r="J6">
        <v>2000</v>
      </c>
      <c r="L6">
        <v>4</v>
      </c>
      <c r="M6" t="s">
        <v>176</v>
      </c>
      <c r="N6" t="s">
        <v>177</v>
      </c>
    </row>
    <row r="7" spans="1:14">
      <c r="A7" t="s">
        <v>178</v>
      </c>
      <c r="B7" t="s">
        <v>179</v>
      </c>
      <c r="C7">
        <v>2881</v>
      </c>
      <c r="D7" t="s">
        <v>180</v>
      </c>
      <c r="E7" t="s">
        <v>159</v>
      </c>
      <c r="F7" t="s">
        <v>159</v>
      </c>
      <c r="G7" t="s">
        <v>160</v>
      </c>
      <c r="J7">
        <v>2000</v>
      </c>
      <c r="L7">
        <v>5</v>
      </c>
      <c r="M7" t="s">
        <v>181</v>
      </c>
      <c r="N7" t="s">
        <v>182</v>
      </c>
    </row>
    <row r="8" spans="1:14">
      <c r="A8" t="s">
        <v>183</v>
      </c>
      <c r="B8" t="s">
        <v>184</v>
      </c>
      <c r="C8">
        <v>1301</v>
      </c>
      <c r="D8" t="s">
        <v>185</v>
      </c>
      <c r="E8" t="s">
        <v>159</v>
      </c>
      <c r="F8" t="s">
        <v>159</v>
      </c>
      <c r="G8" t="s">
        <v>160</v>
      </c>
      <c r="J8">
        <v>2000</v>
      </c>
      <c r="L8">
        <v>6</v>
      </c>
      <c r="M8" t="s">
        <v>186</v>
      </c>
      <c r="N8" t="s">
        <v>182</v>
      </c>
    </row>
    <row r="9" spans="1:14">
      <c r="A9" t="s">
        <v>187</v>
      </c>
      <c r="B9" t="s">
        <v>188</v>
      </c>
      <c r="C9">
        <v>2324</v>
      </c>
      <c r="D9" t="s">
        <v>189</v>
      </c>
      <c r="E9" t="s">
        <v>159</v>
      </c>
      <c r="F9" t="s">
        <v>159</v>
      </c>
      <c r="G9" t="s">
        <v>160</v>
      </c>
      <c r="J9">
        <v>2000</v>
      </c>
      <c r="L9">
        <v>7</v>
      </c>
      <c r="M9" t="s">
        <v>190</v>
      </c>
      <c r="N9" t="s">
        <v>191</v>
      </c>
    </row>
    <row r="10" spans="1:14">
      <c r="A10" t="s">
        <v>192</v>
      </c>
      <c r="B10" t="s">
        <v>193</v>
      </c>
      <c r="C10">
        <v>2409</v>
      </c>
      <c r="D10" t="s">
        <v>194</v>
      </c>
      <c r="E10" t="s">
        <v>159</v>
      </c>
      <c r="F10" t="s">
        <v>159</v>
      </c>
      <c r="G10" t="s">
        <v>160</v>
      </c>
      <c r="J10">
        <v>2000</v>
      </c>
      <c r="L10">
        <v>8</v>
      </c>
      <c r="M10" t="s">
        <v>195</v>
      </c>
      <c r="N10" t="s">
        <v>196</v>
      </c>
    </row>
    <row r="11" spans="1:14">
      <c r="A11" t="s">
        <v>197</v>
      </c>
      <c r="B11" t="s">
        <v>198</v>
      </c>
      <c r="C11">
        <v>2880</v>
      </c>
      <c r="D11" t="s">
        <v>199</v>
      </c>
      <c r="E11" t="s">
        <v>159</v>
      </c>
      <c r="F11" t="s">
        <v>159</v>
      </c>
      <c r="G11" t="s">
        <v>160</v>
      </c>
      <c r="J11">
        <v>2000</v>
      </c>
      <c r="L11">
        <v>9</v>
      </c>
      <c r="M11" t="s">
        <v>200</v>
      </c>
      <c r="N11" t="s">
        <v>201</v>
      </c>
    </row>
    <row r="12" spans="1:14">
      <c r="A12" t="s">
        <v>202</v>
      </c>
      <c r="B12" t="s">
        <v>203</v>
      </c>
      <c r="C12">
        <v>2882</v>
      </c>
      <c r="D12" t="s">
        <v>204</v>
      </c>
      <c r="E12" t="s">
        <v>159</v>
      </c>
      <c r="F12" t="s">
        <v>159</v>
      </c>
      <c r="G12" t="s">
        <v>160</v>
      </c>
      <c r="J12">
        <v>2000</v>
      </c>
      <c r="L12">
        <v>10</v>
      </c>
      <c r="M12" t="s">
        <v>205</v>
      </c>
      <c r="N12" t="s">
        <v>206</v>
      </c>
    </row>
    <row r="13" spans="1:14">
      <c r="A13" t="s">
        <v>207</v>
      </c>
      <c r="B13" t="s">
        <v>208</v>
      </c>
      <c r="C13">
        <v>2886</v>
      </c>
      <c r="D13" t="s">
        <v>209</v>
      </c>
      <c r="E13" t="s">
        <v>159</v>
      </c>
      <c r="F13" t="s">
        <v>159</v>
      </c>
      <c r="G13" t="s">
        <v>160</v>
      </c>
      <c r="J13">
        <v>2000</v>
      </c>
      <c r="L13">
        <v>11</v>
      </c>
      <c r="M13" t="s">
        <v>210</v>
      </c>
      <c r="N13" t="s">
        <v>167</v>
      </c>
    </row>
    <row r="14" spans="1:14">
      <c r="A14" t="s">
        <v>211</v>
      </c>
      <c r="B14" t="s">
        <v>212</v>
      </c>
      <c r="C14">
        <v>2887</v>
      </c>
      <c r="D14" t="s">
        <v>213</v>
      </c>
      <c r="E14" t="s">
        <v>159</v>
      </c>
      <c r="F14" t="s">
        <v>159</v>
      </c>
      <c r="G14" t="s">
        <v>160</v>
      </c>
      <c r="J14">
        <v>2000</v>
      </c>
      <c r="L14">
        <v>12</v>
      </c>
      <c r="M14" t="s">
        <v>214</v>
      </c>
      <c r="N14" t="s">
        <v>167</v>
      </c>
    </row>
    <row r="15" spans="1:14">
      <c r="A15" t="s">
        <v>215</v>
      </c>
      <c r="B15" t="s">
        <v>216</v>
      </c>
      <c r="C15">
        <v>2891</v>
      </c>
      <c r="D15" t="s">
        <v>217</v>
      </c>
      <c r="E15" t="s">
        <v>159</v>
      </c>
      <c r="F15" t="s">
        <v>159</v>
      </c>
      <c r="G15" t="s">
        <v>160</v>
      </c>
      <c r="J15">
        <v>2000</v>
      </c>
      <c r="L15">
        <v>13</v>
      </c>
      <c r="M15" t="s">
        <v>218</v>
      </c>
      <c r="N15" t="s">
        <v>177</v>
      </c>
    </row>
    <row r="16" spans="1:14">
      <c r="A16" t="s">
        <v>219</v>
      </c>
      <c r="B16" t="s">
        <v>220</v>
      </c>
      <c r="C16">
        <v>1216</v>
      </c>
      <c r="D16" t="s">
        <v>221</v>
      </c>
      <c r="E16" t="s">
        <v>159</v>
      </c>
      <c r="F16" t="s">
        <v>159</v>
      </c>
      <c r="G16" t="s">
        <v>160</v>
      </c>
      <c r="J16">
        <v>2000</v>
      </c>
      <c r="L16">
        <v>14</v>
      </c>
      <c r="M16" t="s">
        <v>222</v>
      </c>
      <c r="N16" t="s">
        <v>177</v>
      </c>
    </row>
    <row r="17" spans="1:14">
      <c r="A17" t="s">
        <v>223</v>
      </c>
      <c r="B17" t="s">
        <v>224</v>
      </c>
      <c r="C17">
        <v>1402</v>
      </c>
      <c r="D17" t="s">
        <v>225</v>
      </c>
      <c r="E17" t="s">
        <v>159</v>
      </c>
      <c r="F17" t="s">
        <v>159</v>
      </c>
      <c r="G17" t="s">
        <v>160</v>
      </c>
      <c r="J17">
        <v>2000</v>
      </c>
      <c r="L17">
        <v>15</v>
      </c>
      <c r="M17" t="s">
        <v>226</v>
      </c>
      <c r="N17" t="s">
        <v>182</v>
      </c>
    </row>
    <row r="18" spans="1:14">
      <c r="A18" t="s">
        <v>227</v>
      </c>
      <c r="B18" t="s">
        <v>228</v>
      </c>
      <c r="C18">
        <v>1605</v>
      </c>
      <c r="D18" t="s">
        <v>229</v>
      </c>
      <c r="E18" t="s">
        <v>159</v>
      </c>
      <c r="F18" t="s">
        <v>159</v>
      </c>
      <c r="G18" t="s">
        <v>160</v>
      </c>
      <c r="J18">
        <v>2000</v>
      </c>
      <c r="L18">
        <v>16</v>
      </c>
      <c r="M18" t="s">
        <v>230</v>
      </c>
      <c r="N18" t="s">
        <v>182</v>
      </c>
    </row>
    <row r="19" spans="1:14">
      <c r="A19" t="s">
        <v>231</v>
      </c>
      <c r="B19" t="s">
        <v>232</v>
      </c>
      <c r="C19">
        <v>2323</v>
      </c>
      <c r="D19" t="s">
        <v>233</v>
      </c>
      <c r="E19" t="s">
        <v>159</v>
      </c>
      <c r="G19" t="s">
        <v>160</v>
      </c>
      <c r="J19">
        <v>2000</v>
      </c>
      <c r="L19">
        <v>17</v>
      </c>
      <c r="M19" t="s">
        <v>234</v>
      </c>
      <c r="N19" t="s">
        <v>235</v>
      </c>
    </row>
    <row r="20" spans="1:14">
      <c r="A20" t="s">
        <v>236</v>
      </c>
      <c r="B20" t="s">
        <v>237</v>
      </c>
      <c r="C20">
        <v>2352</v>
      </c>
      <c r="D20" t="s">
        <v>238</v>
      </c>
      <c r="E20" t="s">
        <v>159</v>
      </c>
      <c r="G20" t="s">
        <v>160</v>
      </c>
      <c r="J20">
        <v>2000</v>
      </c>
      <c r="L20">
        <v>18</v>
      </c>
      <c r="M20" t="s">
        <v>239</v>
      </c>
      <c r="N20" t="s">
        <v>235</v>
      </c>
    </row>
    <row r="21" spans="1:14">
      <c r="A21" t="s">
        <v>240</v>
      </c>
      <c r="B21" t="s">
        <v>241</v>
      </c>
      <c r="C21">
        <v>2408</v>
      </c>
      <c r="D21" t="s">
        <v>242</v>
      </c>
      <c r="E21" t="s">
        <v>159</v>
      </c>
      <c r="G21" t="s">
        <v>160</v>
      </c>
      <c r="J21">
        <v>2000</v>
      </c>
      <c r="L21">
        <v>19</v>
      </c>
      <c r="M21" t="s">
        <v>243</v>
      </c>
      <c r="N21" t="s">
        <v>206</v>
      </c>
    </row>
    <row r="22" spans="1:14">
      <c r="A22" t="s">
        <v>244</v>
      </c>
      <c r="B22" t="s">
        <v>245</v>
      </c>
      <c r="C22">
        <v>2603</v>
      </c>
      <c r="D22" t="s">
        <v>246</v>
      </c>
      <c r="E22" t="s">
        <v>159</v>
      </c>
      <c r="F22" t="s">
        <v>159</v>
      </c>
      <c r="G22" t="s">
        <v>160</v>
      </c>
      <c r="J22">
        <v>2000</v>
      </c>
      <c r="L22">
        <v>20</v>
      </c>
      <c r="M22" t="s">
        <v>247</v>
      </c>
      <c r="N22" t="s">
        <v>206</v>
      </c>
    </row>
    <row r="23" spans="1:14">
      <c r="A23" t="s">
        <v>248</v>
      </c>
      <c r="B23" t="s">
        <v>249</v>
      </c>
      <c r="C23">
        <v>2801</v>
      </c>
      <c r="D23" t="s">
        <v>250</v>
      </c>
      <c r="E23" t="s">
        <v>159</v>
      </c>
      <c r="F23" t="s">
        <v>159</v>
      </c>
      <c r="G23" t="s">
        <v>160</v>
      </c>
      <c r="J23">
        <v>2000</v>
      </c>
      <c r="L23">
        <v>21</v>
      </c>
      <c r="M23" t="s">
        <v>251</v>
      </c>
      <c r="N23" t="s">
        <v>252</v>
      </c>
    </row>
    <row r="24" spans="1:14">
      <c r="A24" t="s">
        <v>253</v>
      </c>
      <c r="B24" t="s">
        <v>254</v>
      </c>
      <c r="C24">
        <v>2888</v>
      </c>
      <c r="D24" t="s">
        <v>255</v>
      </c>
      <c r="E24" t="s">
        <v>159</v>
      </c>
      <c r="G24" t="s">
        <v>160</v>
      </c>
      <c r="J24">
        <v>2000</v>
      </c>
      <c r="L24">
        <v>22</v>
      </c>
      <c r="M24" t="s">
        <v>256</v>
      </c>
      <c r="N24" t="s">
        <v>252</v>
      </c>
    </row>
    <row r="25" spans="1:14">
      <c r="A25" t="s">
        <v>257</v>
      </c>
      <c r="B25" t="s">
        <v>258</v>
      </c>
      <c r="C25">
        <v>2890</v>
      </c>
      <c r="D25" t="s">
        <v>259</v>
      </c>
      <c r="E25" t="s">
        <v>159</v>
      </c>
      <c r="F25" t="s">
        <v>159</v>
      </c>
      <c r="G25" t="s">
        <v>160</v>
      </c>
      <c r="J25">
        <v>2000</v>
      </c>
      <c r="L25">
        <v>23</v>
      </c>
      <c r="M25" t="s">
        <v>260</v>
      </c>
      <c r="N25" t="s">
        <v>261</v>
      </c>
    </row>
    <row r="26" spans="1:14">
      <c r="A26" t="s">
        <v>262</v>
      </c>
      <c r="B26" t="s">
        <v>263</v>
      </c>
      <c r="C26">
        <v>1101</v>
      </c>
      <c r="D26" t="s">
        <v>264</v>
      </c>
      <c r="E26" t="s">
        <v>159</v>
      </c>
      <c r="F26" t="s">
        <v>159</v>
      </c>
      <c r="G26" t="s">
        <v>160</v>
      </c>
      <c r="J26">
        <v>2000</v>
      </c>
      <c r="L26">
        <v>24</v>
      </c>
      <c r="M26" t="s">
        <v>265</v>
      </c>
      <c r="N26" t="s">
        <v>261</v>
      </c>
    </row>
    <row r="27" spans="1:14">
      <c r="A27" t="s">
        <v>266</v>
      </c>
      <c r="B27" t="s">
        <v>267</v>
      </c>
      <c r="C27">
        <v>1326</v>
      </c>
      <c r="D27" t="s">
        <v>268</v>
      </c>
      <c r="E27" t="s">
        <v>159</v>
      </c>
      <c r="F27" t="s">
        <v>159</v>
      </c>
      <c r="G27" t="s">
        <v>160</v>
      </c>
      <c r="J27">
        <v>2000</v>
      </c>
      <c r="L27">
        <v>25</v>
      </c>
      <c r="M27" t="s">
        <v>269</v>
      </c>
      <c r="N27" t="s">
        <v>270</v>
      </c>
    </row>
    <row r="28" spans="1:14">
      <c r="A28" t="s">
        <v>271</v>
      </c>
      <c r="B28" t="s">
        <v>272</v>
      </c>
      <c r="C28">
        <v>2317</v>
      </c>
      <c r="D28" t="s">
        <v>273</v>
      </c>
      <c r="E28" t="s">
        <v>159</v>
      </c>
      <c r="F28" t="s">
        <v>159</v>
      </c>
      <c r="G28" t="s">
        <v>160</v>
      </c>
      <c r="J28">
        <v>2000</v>
      </c>
      <c r="L28">
        <v>26</v>
      </c>
      <c r="M28" t="s">
        <v>274</v>
      </c>
      <c r="N28" t="s">
        <v>270</v>
      </c>
    </row>
    <row r="29" spans="1:14">
      <c r="A29" t="s">
        <v>275</v>
      </c>
      <c r="B29" t="s">
        <v>276</v>
      </c>
      <c r="C29">
        <v>2337</v>
      </c>
      <c r="D29" t="s">
        <v>277</v>
      </c>
      <c r="E29" t="s">
        <v>159</v>
      </c>
      <c r="G29" t="s">
        <v>160</v>
      </c>
      <c r="J29">
        <v>2000</v>
      </c>
      <c r="L29">
        <v>27</v>
      </c>
      <c r="M29" t="s">
        <v>278</v>
      </c>
      <c r="N29" t="s">
        <v>279</v>
      </c>
    </row>
    <row r="30" spans="1:14">
      <c r="A30" t="s">
        <v>280</v>
      </c>
      <c r="B30" t="s">
        <v>281</v>
      </c>
      <c r="C30">
        <v>2357</v>
      </c>
      <c r="D30" t="s">
        <v>282</v>
      </c>
      <c r="E30" t="s">
        <v>159</v>
      </c>
      <c r="F30" t="s">
        <v>159</v>
      </c>
      <c r="G30" t="s">
        <v>160</v>
      </c>
      <c r="J30">
        <v>2000</v>
      </c>
      <c r="L30">
        <v>28</v>
      </c>
      <c r="M30" t="s">
        <v>283</v>
      </c>
      <c r="N30" t="s">
        <v>279</v>
      </c>
    </row>
    <row r="31" spans="1:14" ht="17.25" customHeight="1">
      <c r="A31" t="s">
        <v>284</v>
      </c>
      <c r="B31" t="s">
        <v>285</v>
      </c>
      <c r="C31">
        <v>2382</v>
      </c>
      <c r="D31" t="s">
        <v>286</v>
      </c>
      <c r="E31" t="s">
        <v>159</v>
      </c>
      <c r="F31" t="s">
        <v>159</v>
      </c>
      <c r="G31" t="s">
        <v>160</v>
      </c>
      <c r="J31">
        <v>2000</v>
      </c>
      <c r="L31">
        <v>29</v>
      </c>
      <c r="M31" t="s">
        <v>287</v>
      </c>
      <c r="N31" t="s">
        <v>288</v>
      </c>
    </row>
    <row r="32" spans="1:14">
      <c r="A32" t="s">
        <v>289</v>
      </c>
      <c r="B32" t="s">
        <v>290</v>
      </c>
      <c r="C32">
        <v>2412</v>
      </c>
      <c r="D32" t="s">
        <v>291</v>
      </c>
      <c r="E32" t="s">
        <v>159</v>
      </c>
      <c r="F32" t="s">
        <v>159</v>
      </c>
      <c r="G32" t="s">
        <v>160</v>
      </c>
      <c r="J32">
        <v>2000</v>
      </c>
      <c r="L32">
        <v>30</v>
      </c>
      <c r="M32" t="s">
        <v>292</v>
      </c>
      <c r="N32" t="s">
        <v>288</v>
      </c>
    </row>
    <row r="33" spans="1:14">
      <c r="A33" t="s">
        <v>293</v>
      </c>
      <c r="B33" t="s">
        <v>294</v>
      </c>
      <c r="C33">
        <v>2884</v>
      </c>
      <c r="D33" t="s">
        <v>295</v>
      </c>
      <c r="E33" t="s">
        <v>159</v>
      </c>
      <c r="F33" t="s">
        <v>159</v>
      </c>
      <c r="G33" t="s">
        <v>160</v>
      </c>
      <c r="J33">
        <v>2000</v>
      </c>
      <c r="L33">
        <v>31</v>
      </c>
      <c r="M33" t="s">
        <v>296</v>
      </c>
      <c r="N33" t="s">
        <v>297</v>
      </c>
    </row>
    <row r="34" spans="1:14">
      <c r="A34" t="s">
        <v>298</v>
      </c>
      <c r="B34" t="s">
        <v>299</v>
      </c>
      <c r="C34">
        <v>2885</v>
      </c>
      <c r="D34" t="s">
        <v>300</v>
      </c>
      <c r="E34" t="s">
        <v>159</v>
      </c>
      <c r="F34" t="s">
        <v>159</v>
      </c>
      <c r="G34" t="s">
        <v>160</v>
      </c>
      <c r="J34">
        <v>2000</v>
      </c>
      <c r="L34">
        <v>32</v>
      </c>
      <c r="M34" t="s">
        <v>301</v>
      </c>
      <c r="N34" t="s">
        <v>297</v>
      </c>
    </row>
    <row r="35" spans="1:14">
      <c r="A35" t="s">
        <v>302</v>
      </c>
      <c r="B35" t="s">
        <v>303</v>
      </c>
      <c r="C35">
        <v>2892</v>
      </c>
      <c r="D35" t="s">
        <v>304</v>
      </c>
      <c r="E35" t="s">
        <v>159</v>
      </c>
      <c r="F35" t="s">
        <v>159</v>
      </c>
      <c r="G35" t="s">
        <v>160</v>
      </c>
      <c r="J35">
        <v>2000</v>
      </c>
      <c r="L35">
        <v>33</v>
      </c>
      <c r="M35" t="s">
        <v>305</v>
      </c>
      <c r="N35" t="s">
        <v>297</v>
      </c>
    </row>
    <row r="36" spans="1:14">
      <c r="A36" t="s">
        <v>306</v>
      </c>
      <c r="B36" t="s">
        <v>307</v>
      </c>
      <c r="C36">
        <v>3481</v>
      </c>
      <c r="D36" t="s">
        <v>308</v>
      </c>
      <c r="E36" t="s">
        <v>159</v>
      </c>
      <c r="F36" t="s">
        <v>159</v>
      </c>
      <c r="G36" t="s">
        <v>160</v>
      </c>
      <c r="J36">
        <v>2000</v>
      </c>
      <c r="L36">
        <v>34</v>
      </c>
      <c r="M36" t="s">
        <v>309</v>
      </c>
      <c r="N36" t="s">
        <v>310</v>
      </c>
    </row>
    <row r="37" spans="1:14">
      <c r="A37" t="s">
        <v>311</v>
      </c>
      <c r="B37" t="s">
        <v>312</v>
      </c>
      <c r="C37">
        <v>2353</v>
      </c>
      <c r="D37" t="s">
        <v>313</v>
      </c>
      <c r="E37" t="s">
        <v>159</v>
      </c>
      <c r="F37" t="s">
        <v>159</v>
      </c>
      <c r="G37" t="s">
        <v>160</v>
      </c>
      <c r="J37">
        <v>2000</v>
      </c>
      <c r="L37">
        <v>35</v>
      </c>
      <c r="M37" t="s">
        <v>314</v>
      </c>
      <c r="N37" t="s">
        <v>310</v>
      </c>
    </row>
    <row r="38" spans="1:14">
      <c r="A38" t="s">
        <v>136</v>
      </c>
      <c r="B38" t="s">
        <v>315</v>
      </c>
      <c r="C38">
        <v>2454</v>
      </c>
      <c r="D38" t="s">
        <v>316</v>
      </c>
      <c r="E38" t="s">
        <v>159</v>
      </c>
      <c r="F38" t="s">
        <v>159</v>
      </c>
      <c r="G38" t="s">
        <v>160</v>
      </c>
      <c r="J38">
        <v>2000</v>
      </c>
      <c r="L38">
        <v>36</v>
      </c>
      <c r="M38" t="s">
        <v>317</v>
      </c>
      <c r="N38" t="s">
        <v>318</v>
      </c>
    </row>
    <row r="39" spans="1:14">
      <c r="A39" t="s">
        <v>319</v>
      </c>
      <c r="B39" t="s">
        <v>320</v>
      </c>
      <c r="C39">
        <v>2915</v>
      </c>
      <c r="D39" t="s">
        <v>321</v>
      </c>
      <c r="E39" t="s">
        <v>159</v>
      </c>
      <c r="F39" t="s">
        <v>159</v>
      </c>
      <c r="G39" t="s">
        <v>160</v>
      </c>
      <c r="J39">
        <v>2000</v>
      </c>
      <c r="L39">
        <v>37</v>
      </c>
      <c r="M39" t="s">
        <v>322</v>
      </c>
      <c r="N39" t="s">
        <v>318</v>
      </c>
    </row>
    <row r="40" spans="1:14">
      <c r="A40" t="s">
        <v>323</v>
      </c>
      <c r="B40" t="s">
        <v>324</v>
      </c>
      <c r="C40">
        <v>3231</v>
      </c>
      <c r="D40" t="s">
        <v>325</v>
      </c>
      <c r="E40" t="s">
        <v>159</v>
      </c>
      <c r="F40" t="s">
        <v>159</v>
      </c>
      <c r="G40" t="s">
        <v>160</v>
      </c>
      <c r="J40">
        <v>2000</v>
      </c>
      <c r="L40">
        <v>38</v>
      </c>
      <c r="M40" t="s">
        <v>326</v>
      </c>
      <c r="N40" t="s">
        <v>327</v>
      </c>
    </row>
    <row r="41" spans="1:14">
      <c r="A41" t="s">
        <v>328</v>
      </c>
      <c r="B41" t="s">
        <v>329</v>
      </c>
      <c r="C41">
        <v>1102</v>
      </c>
      <c r="D41" t="s">
        <v>330</v>
      </c>
      <c r="E41" t="s">
        <v>159</v>
      </c>
      <c r="G41" t="s">
        <v>160</v>
      </c>
      <c r="J41">
        <v>2000</v>
      </c>
      <c r="L41">
        <v>39</v>
      </c>
      <c r="M41" t="s">
        <v>331</v>
      </c>
      <c r="N41" t="s">
        <v>327</v>
      </c>
    </row>
    <row r="42" spans="1:14">
      <c r="A42" t="s">
        <v>332</v>
      </c>
      <c r="B42" t="s">
        <v>333</v>
      </c>
      <c r="C42">
        <v>1210</v>
      </c>
      <c r="D42" t="s">
        <v>334</v>
      </c>
      <c r="E42" t="s">
        <v>159</v>
      </c>
      <c r="G42" t="s">
        <v>160</v>
      </c>
      <c r="J42">
        <v>2000</v>
      </c>
      <c r="L42">
        <v>40</v>
      </c>
      <c r="M42" t="s">
        <v>335</v>
      </c>
      <c r="N42" t="s">
        <v>336</v>
      </c>
    </row>
    <row r="43" spans="1:14">
      <c r="A43" t="s">
        <v>337</v>
      </c>
      <c r="B43" t="s">
        <v>338</v>
      </c>
      <c r="C43">
        <v>1312</v>
      </c>
      <c r="D43" t="s">
        <v>339</v>
      </c>
      <c r="E43" t="s">
        <v>159</v>
      </c>
      <c r="G43" t="s">
        <v>160</v>
      </c>
      <c r="J43">
        <v>2000</v>
      </c>
      <c r="L43">
        <v>41</v>
      </c>
      <c r="M43" t="s">
        <v>340</v>
      </c>
      <c r="N43" t="s">
        <v>336</v>
      </c>
    </row>
    <row r="44" spans="1:14">
      <c r="A44" t="s">
        <v>341</v>
      </c>
      <c r="B44" t="s">
        <v>342</v>
      </c>
      <c r="C44">
        <v>1314</v>
      </c>
      <c r="D44" t="s">
        <v>343</v>
      </c>
      <c r="E44" t="s">
        <v>159</v>
      </c>
      <c r="G44" t="s">
        <v>160</v>
      </c>
      <c r="J44">
        <v>2000</v>
      </c>
      <c r="L44">
        <v>42</v>
      </c>
      <c r="M44" t="s">
        <v>344</v>
      </c>
      <c r="N44" t="s">
        <v>345</v>
      </c>
    </row>
    <row r="45" spans="1:14">
      <c r="A45" t="s">
        <v>346</v>
      </c>
      <c r="B45" t="s">
        <v>347</v>
      </c>
      <c r="C45">
        <v>1319</v>
      </c>
      <c r="D45" t="s">
        <v>348</v>
      </c>
      <c r="E45" t="s">
        <v>159</v>
      </c>
      <c r="G45" t="s">
        <v>160</v>
      </c>
      <c r="J45">
        <v>2000</v>
      </c>
      <c r="L45">
        <v>43</v>
      </c>
      <c r="M45" t="s">
        <v>349</v>
      </c>
      <c r="N45" t="s">
        <v>345</v>
      </c>
    </row>
    <row r="46" spans="1:14">
      <c r="A46" t="s">
        <v>350</v>
      </c>
      <c r="B46" t="s">
        <v>351</v>
      </c>
      <c r="C46">
        <v>1504</v>
      </c>
      <c r="D46" t="s">
        <v>352</v>
      </c>
      <c r="E46" t="s">
        <v>159</v>
      </c>
      <c r="G46" t="s">
        <v>160</v>
      </c>
      <c r="J46">
        <v>2000</v>
      </c>
      <c r="L46">
        <v>44</v>
      </c>
      <c r="M46" t="s">
        <v>353</v>
      </c>
      <c r="N46" t="s">
        <v>354</v>
      </c>
    </row>
    <row r="47" spans="1:14">
      <c r="A47" t="s">
        <v>355</v>
      </c>
      <c r="B47" t="s">
        <v>356</v>
      </c>
      <c r="C47">
        <v>1590</v>
      </c>
      <c r="D47" t="s">
        <v>357</v>
      </c>
      <c r="E47" t="s">
        <v>159</v>
      </c>
      <c r="G47" t="s">
        <v>160</v>
      </c>
      <c r="J47">
        <v>2000</v>
      </c>
      <c r="L47">
        <v>45</v>
      </c>
      <c r="M47" t="s">
        <v>358</v>
      </c>
      <c r="N47" t="s">
        <v>354</v>
      </c>
    </row>
    <row r="48" spans="1:14">
      <c r="A48" t="s">
        <v>359</v>
      </c>
      <c r="B48" t="s">
        <v>360</v>
      </c>
      <c r="C48">
        <v>1702</v>
      </c>
      <c r="D48" t="s">
        <v>361</v>
      </c>
      <c r="E48" t="s">
        <v>159</v>
      </c>
      <c r="G48" t="s">
        <v>160</v>
      </c>
      <c r="J48">
        <v>2000</v>
      </c>
      <c r="L48">
        <v>46</v>
      </c>
      <c r="M48" t="s">
        <v>362</v>
      </c>
      <c r="N48" t="s">
        <v>363</v>
      </c>
    </row>
    <row r="49" spans="1:14">
      <c r="A49" t="s">
        <v>364</v>
      </c>
      <c r="B49" t="s">
        <v>365</v>
      </c>
      <c r="C49">
        <v>1718</v>
      </c>
      <c r="D49" t="s">
        <v>366</v>
      </c>
      <c r="E49" t="s">
        <v>159</v>
      </c>
      <c r="G49" t="s">
        <v>160</v>
      </c>
      <c r="J49">
        <v>2000</v>
      </c>
      <c r="L49">
        <v>47</v>
      </c>
      <c r="M49" t="s">
        <v>367</v>
      </c>
      <c r="N49" t="s">
        <v>363</v>
      </c>
    </row>
    <row r="50" spans="1:14">
      <c r="A50" t="s">
        <v>368</v>
      </c>
      <c r="B50" t="s">
        <v>369</v>
      </c>
      <c r="C50">
        <v>1722</v>
      </c>
      <c r="D50" t="s">
        <v>370</v>
      </c>
      <c r="E50" t="s">
        <v>159</v>
      </c>
      <c r="G50" t="s">
        <v>160</v>
      </c>
      <c r="J50">
        <v>2000</v>
      </c>
      <c r="L50">
        <v>48</v>
      </c>
      <c r="M50" t="s">
        <v>371</v>
      </c>
      <c r="N50" t="s">
        <v>372</v>
      </c>
    </row>
    <row r="51" spans="1:14">
      <c r="A51" t="s">
        <v>373</v>
      </c>
      <c r="B51" t="s">
        <v>374</v>
      </c>
      <c r="C51">
        <v>2027</v>
      </c>
      <c r="D51" t="s">
        <v>375</v>
      </c>
      <c r="E51" t="s">
        <v>159</v>
      </c>
      <c r="G51" t="s">
        <v>160</v>
      </c>
      <c r="J51">
        <v>2000</v>
      </c>
      <c r="L51">
        <v>49</v>
      </c>
      <c r="M51" t="s">
        <v>376</v>
      </c>
      <c r="N51" t="s">
        <v>372</v>
      </c>
    </row>
    <row r="52" spans="1:14">
      <c r="A52" t="s">
        <v>377</v>
      </c>
      <c r="B52" t="s">
        <v>378</v>
      </c>
      <c r="C52">
        <v>2049</v>
      </c>
      <c r="D52" t="s">
        <v>379</v>
      </c>
      <c r="E52" t="s">
        <v>159</v>
      </c>
      <c r="G52" t="s">
        <v>160</v>
      </c>
      <c r="J52">
        <v>2000</v>
      </c>
      <c r="L52">
        <v>50</v>
      </c>
      <c r="M52" t="s">
        <v>380</v>
      </c>
      <c r="N52" t="s">
        <v>381</v>
      </c>
    </row>
    <row r="53" spans="1:14">
      <c r="A53" t="s">
        <v>382</v>
      </c>
      <c r="B53" t="s">
        <v>383</v>
      </c>
      <c r="C53">
        <v>2059</v>
      </c>
      <c r="D53" t="s">
        <v>384</v>
      </c>
      <c r="E53" t="s">
        <v>159</v>
      </c>
      <c r="G53" t="s">
        <v>160</v>
      </c>
      <c r="J53">
        <v>2000</v>
      </c>
      <c r="L53">
        <v>51</v>
      </c>
      <c r="M53" t="s">
        <v>385</v>
      </c>
      <c r="N53" t="s">
        <v>386</v>
      </c>
    </row>
    <row r="54" spans="1:14">
      <c r="A54" t="s">
        <v>387</v>
      </c>
      <c r="B54" t="s">
        <v>388</v>
      </c>
      <c r="C54">
        <v>2105</v>
      </c>
      <c r="D54" t="s">
        <v>389</v>
      </c>
      <c r="E54" t="s">
        <v>159</v>
      </c>
      <c r="G54" t="s">
        <v>160</v>
      </c>
      <c r="J54">
        <v>2000</v>
      </c>
      <c r="L54">
        <v>52</v>
      </c>
      <c r="M54" t="s">
        <v>390</v>
      </c>
      <c r="N54" t="s">
        <v>386</v>
      </c>
    </row>
    <row r="55" spans="1:14">
      <c r="A55" t="s">
        <v>391</v>
      </c>
      <c r="B55" t="s">
        <v>392</v>
      </c>
      <c r="C55">
        <v>2201</v>
      </c>
      <c r="D55" t="s">
        <v>393</v>
      </c>
      <c r="E55" t="s">
        <v>159</v>
      </c>
      <c r="G55" t="s">
        <v>160</v>
      </c>
      <c r="J55">
        <v>2000</v>
      </c>
      <c r="L55">
        <v>53</v>
      </c>
      <c r="M55" t="s">
        <v>394</v>
      </c>
      <c r="N55" t="s">
        <v>395</v>
      </c>
    </row>
    <row r="56" spans="1:14">
      <c r="A56" t="s">
        <v>396</v>
      </c>
      <c r="B56" t="s">
        <v>397</v>
      </c>
      <c r="C56">
        <v>2301</v>
      </c>
      <c r="D56" t="s">
        <v>398</v>
      </c>
      <c r="E56" t="s">
        <v>159</v>
      </c>
      <c r="G56" t="s">
        <v>160</v>
      </c>
      <c r="J56">
        <v>2000</v>
      </c>
      <c r="L56">
        <v>54</v>
      </c>
      <c r="M56" t="s">
        <v>399</v>
      </c>
      <c r="N56" t="s">
        <v>395</v>
      </c>
    </row>
    <row r="57" spans="1:14">
      <c r="A57" t="s">
        <v>400</v>
      </c>
      <c r="B57" t="s">
        <v>401</v>
      </c>
      <c r="C57">
        <v>2308</v>
      </c>
      <c r="D57" t="s">
        <v>402</v>
      </c>
      <c r="E57" t="s">
        <v>159</v>
      </c>
      <c r="G57" t="s">
        <v>160</v>
      </c>
      <c r="J57">
        <v>2000</v>
      </c>
      <c r="L57">
        <v>55</v>
      </c>
      <c r="M57" t="s">
        <v>403</v>
      </c>
      <c r="N57" t="s">
        <v>404</v>
      </c>
    </row>
    <row r="58" spans="1:14">
      <c r="A58" t="s">
        <v>405</v>
      </c>
      <c r="B58" t="s">
        <v>406</v>
      </c>
      <c r="C58">
        <v>2313</v>
      </c>
      <c r="D58" t="s">
        <v>407</v>
      </c>
      <c r="E58" t="s">
        <v>159</v>
      </c>
      <c r="G58" t="s">
        <v>160</v>
      </c>
      <c r="J58">
        <v>2000</v>
      </c>
      <c r="L58">
        <v>56</v>
      </c>
      <c r="M58" t="s">
        <v>408</v>
      </c>
      <c r="N58" t="s">
        <v>409</v>
      </c>
    </row>
    <row r="59" spans="1:14">
      <c r="A59" t="s">
        <v>410</v>
      </c>
      <c r="B59" t="s">
        <v>411</v>
      </c>
      <c r="C59">
        <v>2331</v>
      </c>
      <c r="D59" t="s">
        <v>412</v>
      </c>
      <c r="E59" t="s">
        <v>159</v>
      </c>
      <c r="G59" t="s">
        <v>160</v>
      </c>
      <c r="J59">
        <v>2000</v>
      </c>
      <c r="L59">
        <v>57</v>
      </c>
      <c r="M59" t="s">
        <v>413</v>
      </c>
      <c r="N59" t="s">
        <v>409</v>
      </c>
    </row>
    <row r="60" spans="1:14">
      <c r="A60" t="s">
        <v>414</v>
      </c>
      <c r="B60" t="s">
        <v>415</v>
      </c>
      <c r="C60">
        <v>2332</v>
      </c>
      <c r="D60" t="s">
        <v>416</v>
      </c>
      <c r="E60" t="s">
        <v>159</v>
      </c>
      <c r="G60" t="s">
        <v>160</v>
      </c>
      <c r="J60">
        <v>2000</v>
      </c>
      <c r="L60">
        <v>58</v>
      </c>
      <c r="M60" t="s">
        <v>417</v>
      </c>
      <c r="N60" t="s">
        <v>418</v>
      </c>
    </row>
    <row r="61" spans="1:14">
      <c r="A61" t="s">
        <v>419</v>
      </c>
      <c r="B61" t="s">
        <v>420</v>
      </c>
      <c r="C61">
        <v>2340</v>
      </c>
      <c r="D61" t="s">
        <v>421</v>
      </c>
      <c r="E61" t="s">
        <v>159</v>
      </c>
      <c r="G61" t="s">
        <v>160</v>
      </c>
      <c r="J61">
        <v>2000</v>
      </c>
      <c r="L61">
        <v>59</v>
      </c>
      <c r="M61" t="s">
        <v>422</v>
      </c>
      <c r="N61" t="s">
        <v>418</v>
      </c>
    </row>
    <row r="62" spans="1:14">
      <c r="A62" t="s">
        <v>423</v>
      </c>
      <c r="B62" t="s">
        <v>424</v>
      </c>
      <c r="C62">
        <v>2344</v>
      </c>
      <c r="D62" t="s">
        <v>425</v>
      </c>
      <c r="E62" t="s">
        <v>159</v>
      </c>
      <c r="G62" t="s">
        <v>160</v>
      </c>
      <c r="J62">
        <v>2000</v>
      </c>
      <c r="L62">
        <v>60</v>
      </c>
      <c r="M62" t="s">
        <v>426</v>
      </c>
      <c r="N62" t="s">
        <v>427</v>
      </c>
    </row>
    <row r="63" spans="1:14">
      <c r="A63" t="s">
        <v>428</v>
      </c>
      <c r="B63" t="s">
        <v>429</v>
      </c>
      <c r="C63">
        <v>2347</v>
      </c>
      <c r="D63" t="s">
        <v>430</v>
      </c>
      <c r="E63" t="s">
        <v>159</v>
      </c>
      <c r="G63" t="s">
        <v>160</v>
      </c>
      <c r="J63">
        <v>2000</v>
      </c>
      <c r="L63">
        <v>61</v>
      </c>
      <c r="M63" t="s">
        <v>431</v>
      </c>
      <c r="N63" t="s">
        <v>427</v>
      </c>
    </row>
    <row r="64" spans="1:14">
      <c r="A64" t="s">
        <v>432</v>
      </c>
      <c r="B64" t="s">
        <v>433</v>
      </c>
      <c r="C64">
        <v>2354</v>
      </c>
      <c r="D64" t="s">
        <v>434</v>
      </c>
      <c r="E64" t="s">
        <v>159</v>
      </c>
      <c r="G64" t="s">
        <v>160</v>
      </c>
      <c r="J64">
        <v>2000</v>
      </c>
      <c r="L64">
        <v>62</v>
      </c>
      <c r="M64" t="s">
        <v>435</v>
      </c>
      <c r="N64" t="s">
        <v>436</v>
      </c>
    </row>
    <row r="65" spans="1:14">
      <c r="A65" t="s">
        <v>437</v>
      </c>
      <c r="B65" t="s">
        <v>438</v>
      </c>
      <c r="C65">
        <v>2376</v>
      </c>
      <c r="D65" t="s">
        <v>439</v>
      </c>
      <c r="E65" t="s">
        <v>159</v>
      </c>
      <c r="G65" t="s">
        <v>160</v>
      </c>
      <c r="J65">
        <v>2000</v>
      </c>
      <c r="L65">
        <v>63</v>
      </c>
      <c r="M65" t="s">
        <v>440</v>
      </c>
      <c r="N65" t="s">
        <v>436</v>
      </c>
    </row>
    <row r="66" spans="1:14">
      <c r="A66" t="s">
        <v>441</v>
      </c>
      <c r="B66" t="s">
        <v>442</v>
      </c>
      <c r="C66">
        <v>2377</v>
      </c>
      <c r="D66" t="s">
        <v>443</v>
      </c>
      <c r="E66" t="s">
        <v>159</v>
      </c>
      <c r="F66" t="s">
        <v>159</v>
      </c>
      <c r="G66" t="s">
        <v>160</v>
      </c>
      <c r="J66">
        <v>2000</v>
      </c>
      <c r="L66">
        <v>64</v>
      </c>
      <c r="M66" t="s">
        <v>444</v>
      </c>
      <c r="N66" t="s">
        <v>445</v>
      </c>
    </row>
    <row r="67" spans="1:14">
      <c r="A67" t="s">
        <v>446</v>
      </c>
      <c r="B67" t="s">
        <v>447</v>
      </c>
      <c r="C67">
        <v>2379</v>
      </c>
      <c r="D67" t="s">
        <v>448</v>
      </c>
      <c r="E67" t="s">
        <v>159</v>
      </c>
      <c r="G67" t="s">
        <v>160</v>
      </c>
      <c r="J67">
        <v>2000</v>
      </c>
      <c r="L67">
        <v>65</v>
      </c>
      <c r="M67" t="s">
        <v>449</v>
      </c>
      <c r="N67" t="s">
        <v>445</v>
      </c>
    </row>
    <row r="68" spans="1:14">
      <c r="A68" t="s">
        <v>450</v>
      </c>
      <c r="B68" t="s">
        <v>451</v>
      </c>
      <c r="C68">
        <v>2392</v>
      </c>
      <c r="D68" t="s">
        <v>452</v>
      </c>
      <c r="E68" t="s">
        <v>159</v>
      </c>
      <c r="G68" t="s">
        <v>160</v>
      </c>
      <c r="J68">
        <v>2000</v>
      </c>
      <c r="L68">
        <v>66</v>
      </c>
      <c r="M68" t="s">
        <v>453</v>
      </c>
      <c r="N68" t="s">
        <v>454</v>
      </c>
    </row>
    <row r="69" spans="1:14">
      <c r="A69" t="s">
        <v>455</v>
      </c>
      <c r="B69" t="s">
        <v>456</v>
      </c>
      <c r="C69">
        <v>2393</v>
      </c>
      <c r="D69" t="s">
        <v>457</v>
      </c>
      <c r="E69" t="s">
        <v>159</v>
      </c>
      <c r="G69" t="s">
        <v>160</v>
      </c>
      <c r="J69">
        <v>2000</v>
      </c>
      <c r="L69">
        <v>67</v>
      </c>
      <c r="M69" t="s">
        <v>458</v>
      </c>
      <c r="N69" t="s">
        <v>454</v>
      </c>
    </row>
    <row r="70" spans="1:14">
      <c r="A70" t="s">
        <v>459</v>
      </c>
      <c r="B70" t="s">
        <v>460</v>
      </c>
      <c r="C70">
        <v>2401</v>
      </c>
      <c r="D70" t="s">
        <v>461</v>
      </c>
      <c r="E70" t="s">
        <v>159</v>
      </c>
      <c r="G70" t="s">
        <v>160</v>
      </c>
      <c r="J70">
        <v>2000</v>
      </c>
      <c r="L70">
        <v>68</v>
      </c>
      <c r="M70" t="s">
        <v>462</v>
      </c>
      <c r="N70" t="s">
        <v>454</v>
      </c>
    </row>
    <row r="71" spans="1:14">
      <c r="A71" t="s">
        <v>463</v>
      </c>
      <c r="B71" t="s">
        <v>464</v>
      </c>
      <c r="C71">
        <v>2404</v>
      </c>
      <c r="D71" t="s">
        <v>465</v>
      </c>
      <c r="E71" t="s">
        <v>159</v>
      </c>
      <c r="G71" t="s">
        <v>160</v>
      </c>
      <c r="J71">
        <v>2000</v>
      </c>
      <c r="L71">
        <v>69</v>
      </c>
      <c r="M71" t="s">
        <v>466</v>
      </c>
      <c r="N71" t="s">
        <v>467</v>
      </c>
    </row>
    <row r="72" spans="1:14">
      <c r="A72" t="s">
        <v>468</v>
      </c>
      <c r="B72" t="s">
        <v>469</v>
      </c>
      <c r="C72">
        <v>2449</v>
      </c>
      <c r="D72" t="s">
        <v>470</v>
      </c>
      <c r="E72" t="s">
        <v>159</v>
      </c>
      <c r="G72" t="s">
        <v>160</v>
      </c>
      <c r="J72">
        <v>2000</v>
      </c>
      <c r="L72">
        <v>70</v>
      </c>
      <c r="M72" t="s">
        <v>471</v>
      </c>
      <c r="N72" t="s">
        <v>467</v>
      </c>
    </row>
    <row r="73" spans="1:14">
      <c r="A73" t="s">
        <v>472</v>
      </c>
      <c r="B73" t="s">
        <v>473</v>
      </c>
      <c r="C73">
        <v>2455</v>
      </c>
      <c r="D73" t="s">
        <v>474</v>
      </c>
      <c r="E73" t="s">
        <v>159</v>
      </c>
      <c r="G73" t="s">
        <v>160</v>
      </c>
      <c r="J73">
        <v>2000</v>
      </c>
      <c r="L73">
        <v>71</v>
      </c>
      <c r="M73" t="s">
        <v>475</v>
      </c>
      <c r="N73" t="s">
        <v>476</v>
      </c>
    </row>
    <row r="74" spans="1:14">
      <c r="A74" t="s">
        <v>477</v>
      </c>
      <c r="B74" t="s">
        <v>478</v>
      </c>
      <c r="C74">
        <v>2458</v>
      </c>
      <c r="D74" t="s">
        <v>479</v>
      </c>
      <c r="E74" t="s">
        <v>159</v>
      </c>
      <c r="G74" t="s">
        <v>160</v>
      </c>
      <c r="J74">
        <v>2000</v>
      </c>
      <c r="L74">
        <v>72</v>
      </c>
      <c r="M74" t="s">
        <v>480</v>
      </c>
      <c r="N74" t="s">
        <v>481</v>
      </c>
    </row>
    <row r="75" spans="1:14">
      <c r="A75" t="s">
        <v>482</v>
      </c>
      <c r="B75" t="s">
        <v>483</v>
      </c>
      <c r="C75">
        <v>2474</v>
      </c>
      <c r="D75" t="s">
        <v>484</v>
      </c>
      <c r="E75" t="s">
        <v>159</v>
      </c>
      <c r="F75" t="s">
        <v>159</v>
      </c>
      <c r="G75" t="s">
        <v>160</v>
      </c>
      <c r="J75">
        <v>2000</v>
      </c>
      <c r="L75">
        <v>73</v>
      </c>
      <c r="M75" t="s">
        <v>156</v>
      </c>
      <c r="N75" t="s">
        <v>485</v>
      </c>
    </row>
    <row r="76" spans="1:14">
      <c r="A76" t="s">
        <v>486</v>
      </c>
      <c r="B76" t="s">
        <v>487</v>
      </c>
      <c r="C76">
        <v>2485</v>
      </c>
      <c r="D76" t="s">
        <v>488</v>
      </c>
      <c r="E76" t="s">
        <v>159</v>
      </c>
      <c r="G76" t="s">
        <v>160</v>
      </c>
      <c r="J76">
        <v>2000</v>
      </c>
      <c r="L76">
        <v>74</v>
      </c>
      <c r="M76" t="s">
        <v>489</v>
      </c>
      <c r="N76" t="s">
        <v>490</v>
      </c>
    </row>
    <row r="77" spans="1:14">
      <c r="A77" t="s">
        <v>491</v>
      </c>
      <c r="B77" t="s">
        <v>492</v>
      </c>
      <c r="C77">
        <v>2489</v>
      </c>
      <c r="D77" t="s">
        <v>493</v>
      </c>
      <c r="E77" t="s">
        <v>159</v>
      </c>
      <c r="G77" t="s">
        <v>160</v>
      </c>
      <c r="J77">
        <v>2000</v>
      </c>
      <c r="L77">
        <v>75</v>
      </c>
      <c r="M77" t="s">
        <v>494</v>
      </c>
      <c r="N77" t="s">
        <v>167</v>
      </c>
    </row>
    <row r="78" spans="1:14">
      <c r="A78" t="s">
        <v>495</v>
      </c>
      <c r="B78" t="s">
        <v>496</v>
      </c>
      <c r="C78">
        <v>2492</v>
      </c>
      <c r="D78" t="s">
        <v>497</v>
      </c>
      <c r="E78" t="s">
        <v>159</v>
      </c>
      <c r="G78" t="s">
        <v>160</v>
      </c>
      <c r="J78">
        <v>2000</v>
      </c>
      <c r="L78">
        <v>76</v>
      </c>
      <c r="M78" t="s">
        <v>498</v>
      </c>
      <c r="N78" t="s">
        <v>490</v>
      </c>
    </row>
    <row r="79" spans="1:14">
      <c r="A79" t="s">
        <v>499</v>
      </c>
      <c r="B79" t="s">
        <v>500</v>
      </c>
      <c r="C79">
        <v>2498</v>
      </c>
      <c r="D79" t="s">
        <v>501</v>
      </c>
      <c r="E79" t="s">
        <v>159</v>
      </c>
      <c r="F79" t="s">
        <v>159</v>
      </c>
      <c r="G79" t="s">
        <v>160</v>
      </c>
      <c r="J79">
        <v>2000</v>
      </c>
      <c r="L79">
        <v>77</v>
      </c>
      <c r="M79" t="s">
        <v>502</v>
      </c>
      <c r="N79" t="s">
        <v>167</v>
      </c>
    </row>
    <row r="80" spans="1:14">
      <c r="A80" t="s">
        <v>503</v>
      </c>
      <c r="B80" t="s">
        <v>504</v>
      </c>
      <c r="C80">
        <v>2515</v>
      </c>
      <c r="D80" t="s">
        <v>505</v>
      </c>
      <c r="E80" t="s">
        <v>159</v>
      </c>
      <c r="G80" t="s">
        <v>160</v>
      </c>
      <c r="J80">
        <v>2000</v>
      </c>
      <c r="L80">
        <v>78</v>
      </c>
      <c r="M80" t="s">
        <v>163</v>
      </c>
      <c r="N80" t="s">
        <v>506</v>
      </c>
    </row>
    <row r="81" spans="1:14">
      <c r="A81" t="s">
        <v>507</v>
      </c>
      <c r="B81" t="s">
        <v>508</v>
      </c>
      <c r="C81">
        <v>2520</v>
      </c>
      <c r="D81" t="s">
        <v>509</v>
      </c>
      <c r="E81" t="s">
        <v>159</v>
      </c>
      <c r="G81" t="s">
        <v>160</v>
      </c>
      <c r="J81">
        <v>2000</v>
      </c>
      <c r="L81">
        <v>79</v>
      </c>
      <c r="M81" t="s">
        <v>510</v>
      </c>
      <c r="N81" t="s">
        <v>511</v>
      </c>
    </row>
    <row r="82" spans="1:14">
      <c r="A82" t="s">
        <v>512</v>
      </c>
      <c r="B82" t="s">
        <v>513</v>
      </c>
      <c r="C82">
        <v>2542</v>
      </c>
      <c r="D82" t="s">
        <v>514</v>
      </c>
      <c r="E82" t="s">
        <v>159</v>
      </c>
      <c r="G82" t="s">
        <v>160</v>
      </c>
      <c r="J82">
        <v>2000</v>
      </c>
      <c r="L82">
        <v>80</v>
      </c>
      <c r="M82" t="s">
        <v>515</v>
      </c>
      <c r="N82" t="s">
        <v>177</v>
      </c>
    </row>
    <row r="83" spans="1:14">
      <c r="A83" t="s">
        <v>516</v>
      </c>
      <c r="B83" t="s">
        <v>517</v>
      </c>
      <c r="C83">
        <v>2548</v>
      </c>
      <c r="D83" t="s">
        <v>518</v>
      </c>
      <c r="E83" t="s">
        <v>159</v>
      </c>
      <c r="G83" t="s">
        <v>160</v>
      </c>
      <c r="J83">
        <v>2000</v>
      </c>
      <c r="L83">
        <v>81</v>
      </c>
      <c r="M83" t="s">
        <v>519</v>
      </c>
      <c r="N83" t="s">
        <v>511</v>
      </c>
    </row>
    <row r="84" spans="1:14">
      <c r="A84" t="s">
        <v>520</v>
      </c>
      <c r="B84" t="s">
        <v>521</v>
      </c>
      <c r="C84">
        <v>2618</v>
      </c>
      <c r="D84" t="s">
        <v>522</v>
      </c>
      <c r="E84" t="s">
        <v>159</v>
      </c>
      <c r="G84" t="s">
        <v>160</v>
      </c>
      <c r="J84">
        <v>2000</v>
      </c>
      <c r="L84">
        <v>82</v>
      </c>
      <c r="M84" t="s">
        <v>523</v>
      </c>
      <c r="N84" t="s">
        <v>177</v>
      </c>
    </row>
    <row r="85" spans="1:14">
      <c r="A85" t="s">
        <v>524</v>
      </c>
      <c r="B85" t="s">
        <v>525</v>
      </c>
      <c r="C85">
        <v>2823</v>
      </c>
      <c r="D85" t="s">
        <v>526</v>
      </c>
      <c r="E85" t="s">
        <v>159</v>
      </c>
      <c r="G85" t="s">
        <v>160</v>
      </c>
      <c r="J85">
        <v>2000</v>
      </c>
      <c r="L85">
        <v>83</v>
      </c>
      <c r="M85" t="s">
        <v>168</v>
      </c>
      <c r="N85" t="s">
        <v>527</v>
      </c>
    </row>
    <row r="86" spans="1:14">
      <c r="A86" t="s">
        <v>528</v>
      </c>
      <c r="B86" t="s">
        <v>529</v>
      </c>
      <c r="C86">
        <v>2834</v>
      </c>
      <c r="D86" t="s">
        <v>530</v>
      </c>
      <c r="E86" t="s">
        <v>159</v>
      </c>
      <c r="G86" t="s">
        <v>160</v>
      </c>
      <c r="J86">
        <v>2000</v>
      </c>
      <c r="L86">
        <v>84</v>
      </c>
      <c r="M86" t="s">
        <v>531</v>
      </c>
      <c r="N86" t="s">
        <v>182</v>
      </c>
    </row>
    <row r="87" spans="1:14">
      <c r="A87" t="s">
        <v>532</v>
      </c>
      <c r="B87" t="s">
        <v>533</v>
      </c>
      <c r="C87">
        <v>2913</v>
      </c>
      <c r="D87" t="s">
        <v>534</v>
      </c>
      <c r="E87" t="s">
        <v>159</v>
      </c>
      <c r="G87" t="s">
        <v>160</v>
      </c>
      <c r="J87">
        <v>2000</v>
      </c>
      <c r="L87">
        <v>85</v>
      </c>
      <c r="M87" t="s">
        <v>535</v>
      </c>
      <c r="N87" t="s">
        <v>536</v>
      </c>
    </row>
    <row r="88" spans="1:14">
      <c r="A88" t="s">
        <v>537</v>
      </c>
      <c r="B88" t="s">
        <v>538</v>
      </c>
      <c r="C88">
        <v>3006</v>
      </c>
      <c r="D88" t="s">
        <v>539</v>
      </c>
      <c r="E88" t="s">
        <v>159</v>
      </c>
      <c r="G88" t="s">
        <v>160</v>
      </c>
      <c r="J88">
        <v>2000</v>
      </c>
      <c r="L88">
        <v>86</v>
      </c>
      <c r="M88" t="s">
        <v>540</v>
      </c>
      <c r="N88" t="s">
        <v>182</v>
      </c>
    </row>
    <row r="89" spans="1:14">
      <c r="A89" t="s">
        <v>541</v>
      </c>
      <c r="B89" t="s">
        <v>542</v>
      </c>
      <c r="C89">
        <v>3008</v>
      </c>
      <c r="D89" t="s">
        <v>543</v>
      </c>
      <c r="E89" t="s">
        <v>159</v>
      </c>
      <c r="F89" t="s">
        <v>159</v>
      </c>
      <c r="G89" t="s">
        <v>160</v>
      </c>
      <c r="J89">
        <v>2000</v>
      </c>
      <c r="L89">
        <v>87</v>
      </c>
      <c r="M89" t="s">
        <v>173</v>
      </c>
      <c r="N89" t="s">
        <v>544</v>
      </c>
    </row>
    <row r="90" spans="1:14">
      <c r="A90" t="s">
        <v>545</v>
      </c>
      <c r="B90" t="s">
        <v>546</v>
      </c>
      <c r="C90">
        <v>3019</v>
      </c>
      <c r="D90" t="s">
        <v>547</v>
      </c>
      <c r="E90" t="s">
        <v>159</v>
      </c>
      <c r="G90" t="s">
        <v>160</v>
      </c>
      <c r="J90">
        <v>2000</v>
      </c>
      <c r="L90">
        <v>88</v>
      </c>
      <c r="M90" t="s">
        <v>548</v>
      </c>
      <c r="N90" t="s">
        <v>196</v>
      </c>
    </row>
    <row r="91" spans="1:14">
      <c r="A91" t="s">
        <v>549</v>
      </c>
      <c r="B91" t="s">
        <v>550</v>
      </c>
      <c r="C91">
        <v>3034</v>
      </c>
      <c r="D91" t="s">
        <v>551</v>
      </c>
      <c r="E91" t="s">
        <v>159</v>
      </c>
      <c r="G91" t="s">
        <v>160</v>
      </c>
      <c r="J91">
        <v>2000</v>
      </c>
      <c r="L91">
        <v>89</v>
      </c>
      <c r="M91" t="s">
        <v>552</v>
      </c>
      <c r="N91" t="s">
        <v>196</v>
      </c>
    </row>
    <row r="92" spans="1:14">
      <c r="A92" t="s">
        <v>553</v>
      </c>
      <c r="B92" t="s">
        <v>554</v>
      </c>
      <c r="C92">
        <v>3035</v>
      </c>
      <c r="D92" t="s">
        <v>555</v>
      </c>
      <c r="E92" t="s">
        <v>159</v>
      </c>
      <c r="G92" t="s">
        <v>160</v>
      </c>
      <c r="J92">
        <v>2000</v>
      </c>
      <c r="L92">
        <v>90</v>
      </c>
      <c r="M92" t="s">
        <v>556</v>
      </c>
      <c r="N92" t="s">
        <v>557</v>
      </c>
    </row>
    <row r="93" spans="1:14">
      <c r="A93" t="s">
        <v>558</v>
      </c>
      <c r="B93" t="s">
        <v>559</v>
      </c>
      <c r="C93">
        <v>3036</v>
      </c>
      <c r="D93" t="s">
        <v>560</v>
      </c>
      <c r="E93" t="s">
        <v>159</v>
      </c>
      <c r="G93" t="s">
        <v>160</v>
      </c>
      <c r="J93">
        <v>2000</v>
      </c>
      <c r="L93">
        <v>91</v>
      </c>
      <c r="M93" t="s">
        <v>561</v>
      </c>
      <c r="N93" t="s">
        <v>196</v>
      </c>
    </row>
    <row r="94" spans="1:14">
      <c r="A94" t="s">
        <v>562</v>
      </c>
      <c r="B94" t="s">
        <v>563</v>
      </c>
      <c r="C94">
        <v>3037</v>
      </c>
      <c r="D94" t="s">
        <v>564</v>
      </c>
      <c r="E94" t="s">
        <v>159</v>
      </c>
      <c r="G94" t="s">
        <v>160</v>
      </c>
      <c r="J94">
        <v>2000</v>
      </c>
      <c r="L94">
        <v>92</v>
      </c>
      <c r="M94" t="s">
        <v>178</v>
      </c>
      <c r="N94" t="s">
        <v>565</v>
      </c>
    </row>
    <row r="95" spans="1:14">
      <c r="A95" t="s">
        <v>566</v>
      </c>
      <c r="B95" t="s">
        <v>567</v>
      </c>
      <c r="C95">
        <v>3042</v>
      </c>
      <c r="D95" t="s">
        <v>568</v>
      </c>
      <c r="E95" t="s">
        <v>159</v>
      </c>
      <c r="G95" t="s">
        <v>160</v>
      </c>
      <c r="J95">
        <v>2000</v>
      </c>
      <c r="L95">
        <v>93</v>
      </c>
      <c r="M95" t="s">
        <v>569</v>
      </c>
      <c r="N95" t="s">
        <v>570</v>
      </c>
    </row>
    <row r="96" spans="1:14">
      <c r="A96" t="s">
        <v>571</v>
      </c>
      <c r="B96" t="s">
        <v>572</v>
      </c>
      <c r="C96">
        <v>3189</v>
      </c>
      <c r="D96" t="s">
        <v>573</v>
      </c>
      <c r="E96" t="s">
        <v>159</v>
      </c>
      <c r="G96" t="s">
        <v>160</v>
      </c>
      <c r="J96">
        <v>2000</v>
      </c>
      <c r="L96">
        <v>94</v>
      </c>
      <c r="M96" t="s">
        <v>574</v>
      </c>
      <c r="N96" t="s">
        <v>206</v>
      </c>
    </row>
    <row r="97" spans="1:14">
      <c r="A97" t="s">
        <v>575</v>
      </c>
      <c r="B97" t="s">
        <v>576</v>
      </c>
      <c r="C97">
        <v>3376</v>
      </c>
      <c r="D97" t="s">
        <v>577</v>
      </c>
      <c r="E97" t="s">
        <v>159</v>
      </c>
      <c r="G97" t="s">
        <v>160</v>
      </c>
      <c r="J97">
        <v>2000</v>
      </c>
      <c r="L97">
        <v>95</v>
      </c>
      <c r="M97" t="s">
        <v>578</v>
      </c>
      <c r="N97" t="s">
        <v>206</v>
      </c>
    </row>
    <row r="98" spans="1:14">
      <c r="A98" t="s">
        <v>579</v>
      </c>
      <c r="B98" t="s">
        <v>580</v>
      </c>
      <c r="C98">
        <v>3380</v>
      </c>
      <c r="D98" t="s">
        <v>581</v>
      </c>
      <c r="E98" t="s">
        <v>159</v>
      </c>
      <c r="G98" t="s">
        <v>160</v>
      </c>
      <c r="J98">
        <v>2000</v>
      </c>
      <c r="L98">
        <v>96</v>
      </c>
      <c r="M98" t="s">
        <v>582</v>
      </c>
      <c r="N98" t="s">
        <v>570</v>
      </c>
    </row>
    <row r="99" spans="1:14">
      <c r="A99" t="s">
        <v>583</v>
      </c>
      <c r="B99" t="s">
        <v>584</v>
      </c>
      <c r="C99">
        <v>3443</v>
      </c>
      <c r="D99" t="s">
        <v>585</v>
      </c>
      <c r="E99" t="s">
        <v>159</v>
      </c>
      <c r="G99" t="s">
        <v>160</v>
      </c>
      <c r="J99">
        <v>2000</v>
      </c>
      <c r="L99">
        <v>97</v>
      </c>
      <c r="M99" t="s">
        <v>586</v>
      </c>
      <c r="N99" t="s">
        <v>206</v>
      </c>
    </row>
    <row r="100" spans="1:14">
      <c r="A100" t="s">
        <v>587</v>
      </c>
      <c r="B100" t="s">
        <v>584</v>
      </c>
      <c r="C100" t="s">
        <v>588</v>
      </c>
      <c r="D100" t="s">
        <v>589</v>
      </c>
      <c r="E100" t="s">
        <v>159</v>
      </c>
      <c r="G100" t="s">
        <v>160</v>
      </c>
      <c r="J100">
        <v>2000</v>
      </c>
      <c r="L100">
        <v>98</v>
      </c>
      <c r="M100" t="s">
        <v>183</v>
      </c>
      <c r="N100" t="s">
        <v>590</v>
      </c>
    </row>
    <row r="101" spans="1:14">
      <c r="A101" t="s">
        <v>591</v>
      </c>
      <c r="B101" t="s">
        <v>592</v>
      </c>
      <c r="C101">
        <v>3533</v>
      </c>
      <c r="D101" t="s">
        <v>593</v>
      </c>
      <c r="E101" t="s">
        <v>159</v>
      </c>
      <c r="G101" t="s">
        <v>160</v>
      </c>
      <c r="J101">
        <v>2000</v>
      </c>
      <c r="L101">
        <v>99</v>
      </c>
      <c r="M101" t="s">
        <v>594</v>
      </c>
      <c r="N101" t="s">
        <v>595</v>
      </c>
    </row>
    <row r="102" spans="1:14">
      <c r="A102" t="s">
        <v>596</v>
      </c>
      <c r="B102" t="s">
        <v>597</v>
      </c>
      <c r="C102">
        <v>3653</v>
      </c>
      <c r="D102" t="s">
        <v>598</v>
      </c>
      <c r="E102" t="s">
        <v>159</v>
      </c>
      <c r="G102" t="s">
        <v>160</v>
      </c>
      <c r="J102">
        <v>2000</v>
      </c>
      <c r="L102">
        <v>100</v>
      </c>
      <c r="M102" t="s">
        <v>599</v>
      </c>
      <c r="N102" t="s">
        <v>252</v>
      </c>
    </row>
    <row r="103" spans="1:14">
      <c r="A103" t="s">
        <v>600</v>
      </c>
      <c r="B103" t="s">
        <v>601</v>
      </c>
      <c r="C103">
        <v>3673</v>
      </c>
      <c r="D103" t="s">
        <v>602</v>
      </c>
      <c r="E103" t="s">
        <v>159</v>
      </c>
      <c r="G103" t="s">
        <v>160</v>
      </c>
      <c r="J103">
        <v>2000</v>
      </c>
      <c r="L103">
        <v>101</v>
      </c>
      <c r="M103" t="s">
        <v>603</v>
      </c>
      <c r="N103" t="s">
        <v>595</v>
      </c>
    </row>
    <row r="104" spans="1:14">
      <c r="A104" t="s">
        <v>604</v>
      </c>
      <c r="B104" t="s">
        <v>605</v>
      </c>
      <c r="C104">
        <v>3702</v>
      </c>
      <c r="D104" t="s">
        <v>606</v>
      </c>
      <c r="E104" t="s">
        <v>159</v>
      </c>
      <c r="G104" t="s">
        <v>160</v>
      </c>
      <c r="J104">
        <v>2000</v>
      </c>
      <c r="L104">
        <v>102</v>
      </c>
      <c r="M104" t="s">
        <v>607</v>
      </c>
      <c r="N104" t="s">
        <v>252</v>
      </c>
    </row>
    <row r="105" spans="1:14">
      <c r="A105" t="s">
        <v>608</v>
      </c>
      <c r="B105" t="s">
        <v>609</v>
      </c>
      <c r="C105">
        <v>4938</v>
      </c>
      <c r="D105" t="s">
        <v>610</v>
      </c>
      <c r="E105" t="s">
        <v>159</v>
      </c>
      <c r="G105" t="s">
        <v>160</v>
      </c>
      <c r="J105">
        <v>2000</v>
      </c>
      <c r="L105">
        <v>103</v>
      </c>
      <c r="M105" t="s">
        <v>187</v>
      </c>
      <c r="N105" t="s">
        <v>611</v>
      </c>
    </row>
    <row r="106" spans="1:14">
      <c r="A106" t="s">
        <v>612</v>
      </c>
      <c r="B106" t="s">
        <v>613</v>
      </c>
      <c r="C106">
        <v>5534</v>
      </c>
      <c r="D106" t="s">
        <v>614</v>
      </c>
      <c r="E106" t="s">
        <v>159</v>
      </c>
      <c r="G106" t="s">
        <v>160</v>
      </c>
      <c r="J106">
        <v>2000</v>
      </c>
      <c r="L106">
        <v>104</v>
      </c>
      <c r="M106" t="s">
        <v>615</v>
      </c>
      <c r="N106" t="s">
        <v>616</v>
      </c>
    </row>
    <row r="107" spans="1:14">
      <c r="A107" t="s">
        <v>617</v>
      </c>
      <c r="B107" t="s">
        <v>618</v>
      </c>
      <c r="C107">
        <v>6153</v>
      </c>
      <c r="D107" t="s">
        <v>619</v>
      </c>
      <c r="E107" t="s">
        <v>159</v>
      </c>
      <c r="G107" t="s">
        <v>160</v>
      </c>
      <c r="J107">
        <v>2000</v>
      </c>
      <c r="L107">
        <v>105</v>
      </c>
      <c r="M107" t="s">
        <v>620</v>
      </c>
      <c r="N107" t="s">
        <v>261</v>
      </c>
    </row>
    <row r="108" spans="1:14">
      <c r="A108" t="s">
        <v>621</v>
      </c>
      <c r="B108" t="s">
        <v>622</v>
      </c>
      <c r="C108">
        <v>6176</v>
      </c>
      <c r="D108" t="s">
        <v>623</v>
      </c>
      <c r="E108" t="s">
        <v>159</v>
      </c>
      <c r="G108" t="s">
        <v>160</v>
      </c>
      <c r="J108">
        <v>2000</v>
      </c>
      <c r="L108">
        <v>106</v>
      </c>
      <c r="M108" t="s">
        <v>624</v>
      </c>
      <c r="N108" t="s">
        <v>616</v>
      </c>
    </row>
    <row r="109" spans="1:14">
      <c r="A109" t="s">
        <v>625</v>
      </c>
      <c r="B109" t="s">
        <v>626</v>
      </c>
      <c r="C109">
        <v>6213</v>
      </c>
      <c r="D109" t="s">
        <v>627</v>
      </c>
      <c r="E109" t="s">
        <v>159</v>
      </c>
      <c r="G109" t="s">
        <v>160</v>
      </c>
      <c r="J109">
        <v>2000</v>
      </c>
      <c r="L109">
        <v>107</v>
      </c>
      <c r="M109" t="s">
        <v>628</v>
      </c>
      <c r="N109" t="s">
        <v>261</v>
      </c>
    </row>
    <row r="110" spans="1:14">
      <c r="A110" t="s">
        <v>629</v>
      </c>
      <c r="B110" t="s">
        <v>630</v>
      </c>
      <c r="C110">
        <v>6239</v>
      </c>
      <c r="D110" t="s">
        <v>631</v>
      </c>
      <c r="E110" t="s">
        <v>159</v>
      </c>
      <c r="G110" t="s">
        <v>160</v>
      </c>
      <c r="J110">
        <v>2000</v>
      </c>
      <c r="L110">
        <v>108</v>
      </c>
      <c r="M110" t="s">
        <v>192</v>
      </c>
      <c r="N110" t="s">
        <v>632</v>
      </c>
    </row>
    <row r="111" spans="1:14">
      <c r="A111" t="s">
        <v>633</v>
      </c>
      <c r="B111" t="s">
        <v>634</v>
      </c>
      <c r="C111">
        <v>6271</v>
      </c>
      <c r="D111" t="s">
        <v>635</v>
      </c>
      <c r="E111" t="s">
        <v>159</v>
      </c>
      <c r="G111" t="s">
        <v>160</v>
      </c>
      <c r="J111">
        <v>2000</v>
      </c>
      <c r="L111">
        <v>109</v>
      </c>
      <c r="M111" t="s">
        <v>636</v>
      </c>
      <c r="N111" t="s">
        <v>637</v>
      </c>
    </row>
    <row r="112" spans="1:14">
      <c r="A112" t="s">
        <v>638</v>
      </c>
      <c r="B112" t="s">
        <v>639</v>
      </c>
      <c r="C112">
        <v>6278</v>
      </c>
      <c r="D112" t="s">
        <v>640</v>
      </c>
      <c r="E112" t="s">
        <v>159</v>
      </c>
      <c r="G112" t="s">
        <v>160</v>
      </c>
      <c r="J112">
        <v>2000</v>
      </c>
      <c r="L112">
        <v>110</v>
      </c>
      <c r="M112" t="s">
        <v>641</v>
      </c>
      <c r="N112" t="s">
        <v>270</v>
      </c>
    </row>
    <row r="113" spans="1:14">
      <c r="A113" t="s">
        <v>642</v>
      </c>
      <c r="B113" t="s">
        <v>643</v>
      </c>
      <c r="C113">
        <v>6282</v>
      </c>
      <c r="D113" t="s">
        <v>644</v>
      </c>
      <c r="E113" t="s">
        <v>159</v>
      </c>
      <c r="G113" t="s">
        <v>160</v>
      </c>
      <c r="J113">
        <v>2000</v>
      </c>
      <c r="L113">
        <v>111</v>
      </c>
      <c r="M113" t="s">
        <v>645</v>
      </c>
      <c r="N113" t="s">
        <v>637</v>
      </c>
    </row>
    <row r="114" spans="1:14">
      <c r="A114" t="s">
        <v>646</v>
      </c>
      <c r="B114" t="s">
        <v>647</v>
      </c>
      <c r="C114">
        <v>6285</v>
      </c>
      <c r="D114" t="s">
        <v>648</v>
      </c>
      <c r="E114" t="s">
        <v>159</v>
      </c>
      <c r="G114" t="s">
        <v>160</v>
      </c>
      <c r="J114">
        <v>2000</v>
      </c>
      <c r="L114">
        <v>112</v>
      </c>
      <c r="M114" t="s">
        <v>649</v>
      </c>
      <c r="N114" t="s">
        <v>270</v>
      </c>
    </row>
    <row r="115" spans="1:14">
      <c r="A115" t="s">
        <v>650</v>
      </c>
      <c r="B115" t="s">
        <v>651</v>
      </c>
      <c r="C115">
        <v>8039</v>
      </c>
      <c r="D115" t="s">
        <v>652</v>
      </c>
      <c r="E115" t="s">
        <v>159</v>
      </c>
      <c r="G115" t="s">
        <v>160</v>
      </c>
      <c r="J115">
        <v>2000</v>
      </c>
      <c r="L115">
        <v>113</v>
      </c>
      <c r="M115" t="s">
        <v>653</v>
      </c>
      <c r="N115" t="s">
        <v>279</v>
      </c>
    </row>
    <row r="116" spans="1:14">
      <c r="A116" t="s">
        <v>654</v>
      </c>
      <c r="B116" t="s">
        <v>655</v>
      </c>
      <c r="C116">
        <v>8163</v>
      </c>
      <c r="D116" t="s">
        <v>656</v>
      </c>
      <c r="E116" t="s">
        <v>159</v>
      </c>
      <c r="G116" t="s">
        <v>160</v>
      </c>
      <c r="J116">
        <v>2000</v>
      </c>
      <c r="L116">
        <v>114</v>
      </c>
      <c r="M116" t="s">
        <v>197</v>
      </c>
      <c r="N116" t="s">
        <v>657</v>
      </c>
    </row>
    <row r="117" spans="1:14">
      <c r="A117" t="s">
        <v>658</v>
      </c>
      <c r="B117" t="s">
        <v>659</v>
      </c>
      <c r="C117">
        <v>9904</v>
      </c>
      <c r="D117" t="s">
        <v>660</v>
      </c>
      <c r="E117" t="s">
        <v>159</v>
      </c>
      <c r="G117" t="s">
        <v>160</v>
      </c>
      <c r="J117">
        <v>2000</v>
      </c>
      <c r="L117">
        <v>115</v>
      </c>
      <c r="M117" t="s">
        <v>661</v>
      </c>
      <c r="N117" t="s">
        <v>662</v>
      </c>
    </row>
    <row r="118" spans="1:14">
      <c r="A118" t="s">
        <v>663</v>
      </c>
      <c r="B118" t="s">
        <v>664</v>
      </c>
      <c r="C118">
        <v>9939</v>
      </c>
      <c r="D118" t="s">
        <v>665</v>
      </c>
      <c r="E118" t="s">
        <v>159</v>
      </c>
      <c r="G118" t="s">
        <v>160</v>
      </c>
      <c r="J118">
        <v>2000</v>
      </c>
      <c r="L118">
        <v>116</v>
      </c>
      <c r="M118" t="s">
        <v>666</v>
      </c>
      <c r="N118" t="s">
        <v>662</v>
      </c>
    </row>
    <row r="119" spans="1:14">
      <c r="A119" t="s">
        <v>667</v>
      </c>
      <c r="B119" t="s">
        <v>668</v>
      </c>
      <c r="C119">
        <v>9945</v>
      </c>
      <c r="D119" t="s">
        <v>669</v>
      </c>
      <c r="E119" t="s">
        <v>159</v>
      </c>
      <c r="G119" t="s">
        <v>160</v>
      </c>
      <c r="J119">
        <v>2000</v>
      </c>
      <c r="L119">
        <v>117</v>
      </c>
      <c r="M119" t="s">
        <v>670</v>
      </c>
      <c r="N119" t="s">
        <v>288</v>
      </c>
    </row>
    <row r="120" spans="1:14">
      <c r="A120" t="s">
        <v>671</v>
      </c>
      <c r="B120" t="s">
        <v>672</v>
      </c>
      <c r="C120">
        <v>1477</v>
      </c>
      <c r="D120" t="s">
        <v>673</v>
      </c>
      <c r="E120" t="s">
        <v>159</v>
      </c>
      <c r="G120" t="s">
        <v>160</v>
      </c>
      <c r="J120">
        <v>2000</v>
      </c>
      <c r="L120">
        <v>118</v>
      </c>
      <c r="M120" t="s">
        <v>674</v>
      </c>
      <c r="N120" t="s">
        <v>662</v>
      </c>
    </row>
    <row r="121" spans="1:14">
      <c r="A121" t="s">
        <v>675</v>
      </c>
      <c r="B121" t="s">
        <v>676</v>
      </c>
      <c r="C121">
        <v>2328</v>
      </c>
      <c r="D121" t="s">
        <v>677</v>
      </c>
      <c r="E121" t="s">
        <v>159</v>
      </c>
      <c r="G121" t="s">
        <v>160</v>
      </c>
      <c r="J121">
        <v>2000</v>
      </c>
      <c r="L121">
        <v>119</v>
      </c>
      <c r="M121" t="s">
        <v>678</v>
      </c>
      <c r="N121" t="s">
        <v>288</v>
      </c>
    </row>
    <row r="122" spans="1:14">
      <c r="A122" t="s">
        <v>679</v>
      </c>
      <c r="B122" t="s">
        <v>680</v>
      </c>
      <c r="C122">
        <v>3044</v>
      </c>
      <c r="D122" t="s">
        <v>681</v>
      </c>
      <c r="E122" t="s">
        <v>159</v>
      </c>
      <c r="G122" t="s">
        <v>160</v>
      </c>
      <c r="J122">
        <v>2000</v>
      </c>
      <c r="L122">
        <v>120</v>
      </c>
      <c r="M122" t="s">
        <v>202</v>
      </c>
      <c r="N122" t="s">
        <v>682</v>
      </c>
    </row>
    <row r="123" spans="1:14">
      <c r="A123" t="s">
        <v>683</v>
      </c>
      <c r="B123" t="s">
        <v>684</v>
      </c>
      <c r="C123">
        <v>3045</v>
      </c>
      <c r="D123" t="s">
        <v>685</v>
      </c>
      <c r="E123" t="s">
        <v>159</v>
      </c>
      <c r="G123" t="s">
        <v>160</v>
      </c>
      <c r="J123">
        <v>2000</v>
      </c>
      <c r="L123">
        <v>121</v>
      </c>
      <c r="M123" t="s">
        <v>686</v>
      </c>
      <c r="N123" t="s">
        <v>687</v>
      </c>
    </row>
    <row r="124" spans="1:14">
      <c r="A124" t="s">
        <v>688</v>
      </c>
      <c r="B124" t="s">
        <v>689</v>
      </c>
      <c r="C124">
        <v>3406</v>
      </c>
      <c r="D124" t="s">
        <v>690</v>
      </c>
      <c r="E124" t="s">
        <v>159</v>
      </c>
      <c r="G124" t="s">
        <v>160</v>
      </c>
      <c r="J124">
        <v>2000</v>
      </c>
      <c r="L124">
        <v>122</v>
      </c>
      <c r="M124" t="s">
        <v>691</v>
      </c>
      <c r="N124" t="s">
        <v>687</v>
      </c>
    </row>
    <row r="125" spans="1:14">
      <c r="A125" t="s">
        <v>692</v>
      </c>
      <c r="B125" t="s">
        <v>693</v>
      </c>
      <c r="C125">
        <v>6269</v>
      </c>
      <c r="D125" t="s">
        <v>694</v>
      </c>
      <c r="E125" t="s">
        <v>159</v>
      </c>
      <c r="G125" t="s">
        <v>160</v>
      </c>
      <c r="J125">
        <v>2000</v>
      </c>
      <c r="L125">
        <v>123</v>
      </c>
      <c r="M125" t="s">
        <v>695</v>
      </c>
      <c r="N125" t="s">
        <v>297</v>
      </c>
    </row>
    <row r="126" spans="1:14">
      <c r="A126" t="s">
        <v>696</v>
      </c>
      <c r="B126" t="s">
        <v>697</v>
      </c>
      <c r="C126">
        <v>9914</v>
      </c>
      <c r="D126" t="s">
        <v>698</v>
      </c>
      <c r="E126" t="s">
        <v>159</v>
      </c>
      <c r="G126" t="s">
        <v>160</v>
      </c>
      <c r="J126">
        <v>2000</v>
      </c>
      <c r="L126">
        <v>124</v>
      </c>
      <c r="M126" t="s">
        <v>699</v>
      </c>
      <c r="N126" t="s">
        <v>297</v>
      </c>
    </row>
    <row r="127" spans="1:14">
      <c r="A127" t="s">
        <v>700</v>
      </c>
      <c r="B127" t="s">
        <v>701</v>
      </c>
      <c r="C127">
        <v>5880</v>
      </c>
      <c r="D127" t="s">
        <v>702</v>
      </c>
      <c r="E127" t="s">
        <v>159</v>
      </c>
      <c r="F127" t="s">
        <v>159</v>
      </c>
      <c r="G127" t="s">
        <v>160</v>
      </c>
      <c r="J127">
        <v>2000</v>
      </c>
      <c r="L127">
        <v>125</v>
      </c>
      <c r="M127" t="s">
        <v>703</v>
      </c>
      <c r="N127" t="s">
        <v>687</v>
      </c>
    </row>
    <row r="128" spans="1:14">
      <c r="A128" t="s">
        <v>704</v>
      </c>
      <c r="B128" t="s">
        <v>705</v>
      </c>
      <c r="C128">
        <v>2356</v>
      </c>
      <c r="D128" t="s">
        <v>706</v>
      </c>
      <c r="E128" t="s">
        <v>159</v>
      </c>
      <c r="G128" t="s">
        <v>160</v>
      </c>
      <c r="J128">
        <v>2000</v>
      </c>
      <c r="L128">
        <v>126</v>
      </c>
      <c r="M128" t="s">
        <v>707</v>
      </c>
      <c r="N128" t="s">
        <v>297</v>
      </c>
    </row>
    <row r="129" spans="1:14">
      <c r="A129" t="s">
        <v>708</v>
      </c>
      <c r="B129" t="s">
        <v>709</v>
      </c>
      <c r="C129">
        <v>2883</v>
      </c>
      <c r="D129" t="s">
        <v>710</v>
      </c>
      <c r="E129" t="s">
        <v>159</v>
      </c>
      <c r="G129" t="s">
        <v>160</v>
      </c>
      <c r="J129">
        <v>2000</v>
      </c>
      <c r="L129">
        <v>127</v>
      </c>
      <c r="M129" t="s">
        <v>207</v>
      </c>
      <c r="N129" t="s">
        <v>711</v>
      </c>
    </row>
    <row r="130" spans="1:14">
      <c r="A130" t="s">
        <v>712</v>
      </c>
      <c r="B130" t="s">
        <v>713</v>
      </c>
      <c r="C130">
        <v>4904</v>
      </c>
      <c r="D130" t="s">
        <v>714</v>
      </c>
      <c r="E130" t="s">
        <v>159</v>
      </c>
      <c r="G130" t="s">
        <v>160</v>
      </c>
      <c r="J130">
        <v>2000</v>
      </c>
      <c r="L130">
        <v>128</v>
      </c>
      <c r="M130" t="s">
        <v>715</v>
      </c>
      <c r="N130" t="s">
        <v>716</v>
      </c>
    </row>
    <row r="131" spans="1:14">
      <c r="A131" t="s">
        <v>717</v>
      </c>
      <c r="B131" t="s">
        <v>718</v>
      </c>
      <c r="C131">
        <v>4958</v>
      </c>
      <c r="D131" t="s">
        <v>719</v>
      </c>
      <c r="E131" t="s">
        <v>159</v>
      </c>
      <c r="G131" t="s">
        <v>160</v>
      </c>
      <c r="J131">
        <v>2000</v>
      </c>
      <c r="L131">
        <v>129</v>
      </c>
      <c r="M131" t="s">
        <v>720</v>
      </c>
      <c r="N131" t="s">
        <v>716</v>
      </c>
    </row>
    <row r="132" spans="1:14">
      <c r="A132" t="s">
        <v>721</v>
      </c>
      <c r="B132" t="s">
        <v>722</v>
      </c>
      <c r="C132">
        <v>5871</v>
      </c>
      <c r="D132" t="s">
        <v>723</v>
      </c>
      <c r="E132" t="s">
        <v>159</v>
      </c>
      <c r="G132" t="s">
        <v>160</v>
      </c>
      <c r="J132">
        <v>2000</v>
      </c>
      <c r="L132">
        <v>130</v>
      </c>
      <c r="M132" t="s">
        <v>724</v>
      </c>
      <c r="N132" t="s">
        <v>310</v>
      </c>
    </row>
    <row r="133" spans="1:14">
      <c r="A133" t="s">
        <v>725</v>
      </c>
      <c r="B133" t="s">
        <v>726</v>
      </c>
      <c r="C133">
        <v>1476</v>
      </c>
      <c r="D133" t="s">
        <v>727</v>
      </c>
      <c r="E133" t="s">
        <v>159</v>
      </c>
      <c r="G133" t="s">
        <v>160</v>
      </c>
      <c r="J133">
        <v>2000</v>
      </c>
      <c r="L133">
        <v>131</v>
      </c>
      <c r="M133" t="s">
        <v>728</v>
      </c>
      <c r="N133" t="s">
        <v>716</v>
      </c>
    </row>
    <row r="134" spans="1:14">
      <c r="A134" t="s">
        <v>729</v>
      </c>
      <c r="B134" t="s">
        <v>730</v>
      </c>
      <c r="C134">
        <v>2327</v>
      </c>
      <c r="D134" t="s">
        <v>731</v>
      </c>
      <c r="E134" t="s">
        <v>159</v>
      </c>
      <c r="G134" t="s">
        <v>160</v>
      </c>
      <c r="J134">
        <v>2000</v>
      </c>
      <c r="L134">
        <v>132</v>
      </c>
      <c r="M134" t="s">
        <v>732</v>
      </c>
      <c r="N134" t="s">
        <v>310</v>
      </c>
    </row>
    <row r="135" spans="1:14">
      <c r="A135" t="s">
        <v>733</v>
      </c>
      <c r="B135" t="s">
        <v>734</v>
      </c>
      <c r="C135">
        <v>8046</v>
      </c>
      <c r="D135" t="s">
        <v>735</v>
      </c>
      <c r="E135" t="s">
        <v>159</v>
      </c>
      <c r="G135" t="s">
        <v>160</v>
      </c>
      <c r="J135">
        <v>2000</v>
      </c>
      <c r="L135">
        <v>133</v>
      </c>
      <c r="M135" t="s">
        <v>211</v>
      </c>
      <c r="N135" t="s">
        <v>736</v>
      </c>
    </row>
    <row r="136" spans="1:14">
      <c r="A136" t="s">
        <v>737</v>
      </c>
      <c r="B136" t="s">
        <v>738</v>
      </c>
      <c r="C136">
        <v>1707</v>
      </c>
      <c r="D136" t="s">
        <v>739</v>
      </c>
      <c r="E136" t="s">
        <v>159</v>
      </c>
      <c r="G136" t="s">
        <v>160</v>
      </c>
      <c r="J136">
        <v>2000</v>
      </c>
      <c r="L136">
        <v>134</v>
      </c>
      <c r="M136" t="s">
        <v>740</v>
      </c>
      <c r="N136" t="s">
        <v>741</v>
      </c>
    </row>
    <row r="137" spans="1:14">
      <c r="A137" t="s">
        <v>742</v>
      </c>
      <c r="B137" t="s">
        <v>743</v>
      </c>
      <c r="C137">
        <v>2355</v>
      </c>
      <c r="D137" t="s">
        <v>744</v>
      </c>
      <c r="E137" t="s">
        <v>159</v>
      </c>
      <c r="G137" t="s">
        <v>160</v>
      </c>
      <c r="J137">
        <v>2000</v>
      </c>
      <c r="L137">
        <v>135</v>
      </c>
      <c r="M137" t="s">
        <v>745</v>
      </c>
      <c r="N137" t="s">
        <v>741</v>
      </c>
    </row>
    <row r="138" spans="1:14">
      <c r="A138" t="s">
        <v>746</v>
      </c>
      <c r="B138" t="s">
        <v>747</v>
      </c>
      <c r="C138">
        <v>2360</v>
      </c>
      <c r="D138" t="s">
        <v>748</v>
      </c>
      <c r="E138" t="s">
        <v>159</v>
      </c>
      <c r="G138" t="s">
        <v>160</v>
      </c>
      <c r="J138">
        <v>2000</v>
      </c>
      <c r="L138">
        <v>136</v>
      </c>
      <c r="M138" t="s">
        <v>749</v>
      </c>
      <c r="N138" t="s">
        <v>318</v>
      </c>
    </row>
    <row r="139" spans="1:14">
      <c r="A139" t="s">
        <v>750</v>
      </c>
      <c r="B139" t="s">
        <v>751</v>
      </c>
      <c r="C139">
        <v>2439</v>
      </c>
      <c r="D139" t="s">
        <v>752</v>
      </c>
      <c r="E139" t="s">
        <v>159</v>
      </c>
      <c r="G139" t="s">
        <v>160</v>
      </c>
      <c r="J139">
        <v>2000</v>
      </c>
      <c r="L139">
        <v>137</v>
      </c>
      <c r="M139" t="s">
        <v>753</v>
      </c>
      <c r="N139" t="s">
        <v>741</v>
      </c>
    </row>
    <row r="140" spans="1:14">
      <c r="A140" t="s">
        <v>754</v>
      </c>
      <c r="B140" t="s">
        <v>755</v>
      </c>
      <c r="C140">
        <v>6214</v>
      </c>
      <c r="D140" t="s">
        <v>756</v>
      </c>
      <c r="E140" t="s">
        <v>159</v>
      </c>
      <c r="G140" t="s">
        <v>160</v>
      </c>
      <c r="J140">
        <v>2000</v>
      </c>
      <c r="L140">
        <v>138</v>
      </c>
      <c r="M140" t="s">
        <v>757</v>
      </c>
      <c r="N140" t="s">
        <v>318</v>
      </c>
    </row>
    <row r="141" spans="1:14">
      <c r="A141" t="s">
        <v>758</v>
      </c>
      <c r="B141" t="s">
        <v>759</v>
      </c>
      <c r="C141">
        <v>6257</v>
      </c>
      <c r="D141" t="s">
        <v>760</v>
      </c>
      <c r="E141" t="s">
        <v>159</v>
      </c>
      <c r="G141" t="s">
        <v>160</v>
      </c>
      <c r="J141">
        <v>2000</v>
      </c>
      <c r="L141">
        <v>139</v>
      </c>
      <c r="M141" t="s">
        <v>215</v>
      </c>
      <c r="N141" t="s">
        <v>761</v>
      </c>
    </row>
    <row r="142" spans="1:14">
      <c r="A142" t="s">
        <v>762</v>
      </c>
      <c r="B142" t="s">
        <v>763</v>
      </c>
      <c r="C142">
        <v>9938</v>
      </c>
      <c r="D142" t="s">
        <v>764</v>
      </c>
      <c r="E142" t="s">
        <v>159</v>
      </c>
      <c r="G142" t="s">
        <v>160</v>
      </c>
      <c r="J142">
        <v>2000</v>
      </c>
      <c r="L142">
        <v>140</v>
      </c>
      <c r="M142" t="s">
        <v>765</v>
      </c>
      <c r="N142" t="s">
        <v>766</v>
      </c>
    </row>
    <row r="143" spans="1:14">
      <c r="A143" t="s">
        <v>767</v>
      </c>
      <c r="B143" t="s">
        <v>768</v>
      </c>
      <c r="C143">
        <v>1565</v>
      </c>
      <c r="D143" t="s">
        <v>769</v>
      </c>
      <c r="E143" t="s">
        <v>159</v>
      </c>
      <c r="H143" t="s">
        <v>160</v>
      </c>
      <c r="J143">
        <v>2000</v>
      </c>
      <c r="L143">
        <v>141</v>
      </c>
      <c r="M143" t="s">
        <v>770</v>
      </c>
      <c r="N143" t="s">
        <v>766</v>
      </c>
    </row>
    <row r="144" spans="1:14">
      <c r="A144" t="s">
        <v>771</v>
      </c>
      <c r="B144" t="s">
        <v>772</v>
      </c>
      <c r="C144">
        <v>3105</v>
      </c>
      <c r="D144" t="s">
        <v>773</v>
      </c>
      <c r="E144" t="s">
        <v>159</v>
      </c>
      <c r="H144" t="s">
        <v>160</v>
      </c>
      <c r="J144">
        <v>2000</v>
      </c>
      <c r="L144">
        <v>142</v>
      </c>
      <c r="M144" t="s">
        <v>774</v>
      </c>
      <c r="N144" t="s">
        <v>327</v>
      </c>
    </row>
    <row r="145" spans="1:14">
      <c r="A145" t="s">
        <v>775</v>
      </c>
      <c r="B145" t="s">
        <v>776</v>
      </c>
      <c r="C145">
        <v>3152</v>
      </c>
      <c r="D145" t="s">
        <v>777</v>
      </c>
      <c r="E145" t="s">
        <v>159</v>
      </c>
      <c r="H145" t="s">
        <v>160</v>
      </c>
      <c r="J145">
        <v>2000</v>
      </c>
      <c r="L145">
        <v>143</v>
      </c>
      <c r="M145" t="s">
        <v>778</v>
      </c>
      <c r="N145" t="s">
        <v>327</v>
      </c>
    </row>
    <row r="146" spans="1:14">
      <c r="A146" t="s">
        <v>779</v>
      </c>
      <c r="B146" t="s">
        <v>780</v>
      </c>
      <c r="C146">
        <v>3211</v>
      </c>
      <c r="D146" t="s">
        <v>781</v>
      </c>
      <c r="E146" t="s">
        <v>159</v>
      </c>
      <c r="H146" t="s">
        <v>160</v>
      </c>
      <c r="J146">
        <v>2000</v>
      </c>
      <c r="L146">
        <v>144</v>
      </c>
      <c r="M146" t="s">
        <v>782</v>
      </c>
      <c r="N146" t="s">
        <v>327</v>
      </c>
    </row>
    <row r="147" spans="1:14">
      <c r="A147" t="s">
        <v>783</v>
      </c>
      <c r="B147" t="s">
        <v>784</v>
      </c>
      <c r="C147">
        <v>3260</v>
      </c>
      <c r="D147" t="s">
        <v>785</v>
      </c>
      <c r="E147" t="s">
        <v>159</v>
      </c>
      <c r="H147" t="s">
        <v>160</v>
      </c>
      <c r="J147">
        <v>2000</v>
      </c>
      <c r="L147">
        <v>145</v>
      </c>
      <c r="M147" t="s">
        <v>786</v>
      </c>
      <c r="N147" t="s">
        <v>766</v>
      </c>
    </row>
    <row r="148" spans="1:14">
      <c r="A148" t="s">
        <v>787</v>
      </c>
      <c r="B148" t="s">
        <v>788</v>
      </c>
      <c r="C148">
        <v>3264</v>
      </c>
      <c r="D148" t="s">
        <v>789</v>
      </c>
      <c r="E148" t="s">
        <v>159</v>
      </c>
      <c r="H148" t="s">
        <v>160</v>
      </c>
      <c r="J148">
        <v>2000</v>
      </c>
      <c r="L148">
        <v>146</v>
      </c>
      <c r="M148" t="s">
        <v>790</v>
      </c>
      <c r="N148" t="s">
        <v>327</v>
      </c>
    </row>
    <row r="149" spans="1:14">
      <c r="A149" t="s">
        <v>791</v>
      </c>
      <c r="B149" t="s">
        <v>792</v>
      </c>
      <c r="C149">
        <v>3691</v>
      </c>
      <c r="D149" t="s">
        <v>793</v>
      </c>
      <c r="E149" t="s">
        <v>159</v>
      </c>
      <c r="H149" t="s">
        <v>160</v>
      </c>
      <c r="J149">
        <v>2000</v>
      </c>
      <c r="L149">
        <v>147</v>
      </c>
      <c r="M149" t="s">
        <v>794</v>
      </c>
      <c r="N149" t="s">
        <v>336</v>
      </c>
    </row>
    <row r="150" spans="1:14">
      <c r="A150" t="s">
        <v>795</v>
      </c>
      <c r="B150" t="s">
        <v>796</v>
      </c>
      <c r="C150">
        <v>4123</v>
      </c>
      <c r="D150" t="s">
        <v>797</v>
      </c>
      <c r="E150" t="s">
        <v>159</v>
      </c>
      <c r="H150" t="s">
        <v>160</v>
      </c>
      <c r="J150">
        <v>2000</v>
      </c>
      <c r="L150">
        <v>148</v>
      </c>
      <c r="M150" t="s">
        <v>798</v>
      </c>
      <c r="N150" t="s">
        <v>799</v>
      </c>
    </row>
    <row r="151" spans="1:14">
      <c r="A151" t="s">
        <v>800</v>
      </c>
      <c r="B151" t="s">
        <v>801</v>
      </c>
      <c r="C151">
        <v>5009</v>
      </c>
      <c r="D151" t="s">
        <v>802</v>
      </c>
      <c r="E151" t="s">
        <v>159</v>
      </c>
      <c r="H151" t="s">
        <v>160</v>
      </c>
      <c r="J151">
        <v>2000</v>
      </c>
      <c r="L151">
        <v>149</v>
      </c>
      <c r="M151" t="s">
        <v>219</v>
      </c>
      <c r="N151" t="s">
        <v>803</v>
      </c>
    </row>
    <row r="152" spans="1:14">
      <c r="A152" t="s">
        <v>804</v>
      </c>
      <c r="B152" t="s">
        <v>805</v>
      </c>
      <c r="C152">
        <v>5347</v>
      </c>
      <c r="D152" t="s">
        <v>806</v>
      </c>
      <c r="E152" t="s">
        <v>159</v>
      </c>
      <c r="H152" t="s">
        <v>160</v>
      </c>
      <c r="J152">
        <v>2000</v>
      </c>
      <c r="L152">
        <v>150</v>
      </c>
      <c r="M152" t="s">
        <v>807</v>
      </c>
      <c r="N152" t="s">
        <v>808</v>
      </c>
    </row>
    <row r="153" spans="1:14">
      <c r="A153" t="s">
        <v>809</v>
      </c>
      <c r="B153" t="s">
        <v>810</v>
      </c>
      <c r="C153">
        <v>5371</v>
      </c>
      <c r="D153" t="s">
        <v>811</v>
      </c>
      <c r="E153" t="s">
        <v>159</v>
      </c>
      <c r="H153" t="s">
        <v>160</v>
      </c>
      <c r="J153">
        <v>2000</v>
      </c>
      <c r="L153">
        <v>151</v>
      </c>
      <c r="M153" t="s">
        <v>812</v>
      </c>
      <c r="N153" t="s">
        <v>345</v>
      </c>
    </row>
    <row r="154" spans="1:14">
      <c r="A154" t="s">
        <v>813</v>
      </c>
      <c r="B154" t="s">
        <v>814</v>
      </c>
      <c r="C154">
        <v>5483</v>
      </c>
      <c r="D154" t="s">
        <v>815</v>
      </c>
      <c r="E154" t="s">
        <v>159</v>
      </c>
      <c r="H154" t="s">
        <v>160</v>
      </c>
      <c r="J154">
        <v>2000</v>
      </c>
      <c r="L154">
        <v>152</v>
      </c>
      <c r="M154" t="s">
        <v>816</v>
      </c>
      <c r="N154" t="s">
        <v>808</v>
      </c>
    </row>
    <row r="155" spans="1:14">
      <c r="A155" t="s">
        <v>817</v>
      </c>
      <c r="B155" t="s">
        <v>818</v>
      </c>
      <c r="C155">
        <v>6121</v>
      </c>
      <c r="D155" t="s">
        <v>819</v>
      </c>
      <c r="E155" t="s">
        <v>159</v>
      </c>
      <c r="H155" t="s">
        <v>160</v>
      </c>
      <c r="J155">
        <v>2000</v>
      </c>
      <c r="L155">
        <v>153</v>
      </c>
      <c r="M155" t="s">
        <v>820</v>
      </c>
      <c r="N155" t="s">
        <v>345</v>
      </c>
    </row>
    <row r="156" spans="1:14">
      <c r="A156" t="s">
        <v>821</v>
      </c>
      <c r="B156" t="s">
        <v>822</v>
      </c>
      <c r="C156">
        <v>6147</v>
      </c>
      <c r="D156" t="s">
        <v>823</v>
      </c>
      <c r="E156" t="s">
        <v>159</v>
      </c>
      <c r="H156" t="s">
        <v>160</v>
      </c>
      <c r="J156">
        <v>2000</v>
      </c>
      <c r="L156">
        <v>154</v>
      </c>
      <c r="M156" t="s">
        <v>223</v>
      </c>
      <c r="N156" t="s">
        <v>824</v>
      </c>
    </row>
    <row r="157" spans="1:14">
      <c r="A157" t="s">
        <v>825</v>
      </c>
      <c r="B157" t="s">
        <v>826</v>
      </c>
      <c r="C157">
        <v>8044</v>
      </c>
      <c r="D157" t="s">
        <v>827</v>
      </c>
      <c r="E157" t="s">
        <v>159</v>
      </c>
      <c r="H157" t="s">
        <v>160</v>
      </c>
      <c r="J157">
        <v>2000</v>
      </c>
      <c r="L157">
        <v>155</v>
      </c>
      <c r="M157" t="s">
        <v>828</v>
      </c>
      <c r="N157" t="s">
        <v>829</v>
      </c>
    </row>
    <row r="158" spans="1:14">
      <c r="A158" t="s">
        <v>830</v>
      </c>
      <c r="B158" t="s">
        <v>831</v>
      </c>
      <c r="C158">
        <v>8069</v>
      </c>
      <c r="D158" t="s">
        <v>832</v>
      </c>
      <c r="E158" t="s">
        <v>159</v>
      </c>
      <c r="H158" t="s">
        <v>160</v>
      </c>
      <c r="J158">
        <v>2000</v>
      </c>
      <c r="L158">
        <v>156</v>
      </c>
      <c r="M158" t="s">
        <v>833</v>
      </c>
      <c r="N158" t="s">
        <v>834</v>
      </c>
    </row>
    <row r="159" spans="1:14">
      <c r="A159" t="s">
        <v>835</v>
      </c>
      <c r="B159" t="s">
        <v>836</v>
      </c>
      <c r="C159">
        <v>8299</v>
      </c>
      <c r="D159" t="s">
        <v>837</v>
      </c>
      <c r="E159" t="s">
        <v>159</v>
      </c>
      <c r="H159" t="s">
        <v>160</v>
      </c>
      <c r="J159">
        <v>2000</v>
      </c>
      <c r="L159">
        <v>157</v>
      </c>
      <c r="M159" t="s">
        <v>838</v>
      </c>
      <c r="N159" t="s">
        <v>829</v>
      </c>
    </row>
    <row r="160" spans="1:14">
      <c r="A160" t="s">
        <v>839</v>
      </c>
      <c r="B160" t="s">
        <v>840</v>
      </c>
      <c r="C160">
        <v>8942</v>
      </c>
      <c r="D160" t="s">
        <v>841</v>
      </c>
      <c r="E160" t="s">
        <v>159</v>
      </c>
      <c r="H160" t="s">
        <v>160</v>
      </c>
      <c r="J160">
        <v>2000</v>
      </c>
      <c r="L160">
        <v>158</v>
      </c>
      <c r="M160" t="s">
        <v>842</v>
      </c>
      <c r="N160" t="s">
        <v>834</v>
      </c>
    </row>
    <row r="161" spans="1:14">
      <c r="A161" t="s">
        <v>843</v>
      </c>
      <c r="B161" t="s">
        <v>844</v>
      </c>
      <c r="C161" t="s">
        <v>845</v>
      </c>
      <c r="D161" t="s">
        <v>846</v>
      </c>
      <c r="E161" t="s">
        <v>159</v>
      </c>
      <c r="F161" t="s">
        <v>159</v>
      </c>
      <c r="I161" t="s">
        <v>160</v>
      </c>
      <c r="J161">
        <v>10000</v>
      </c>
      <c r="L161">
        <v>159</v>
      </c>
      <c r="M161" t="s">
        <v>227</v>
      </c>
      <c r="N161" t="s">
        <v>847</v>
      </c>
    </row>
    <row r="162" spans="1:14">
      <c r="A162" t="s">
        <v>848</v>
      </c>
      <c r="B162" t="s">
        <v>849</v>
      </c>
      <c r="C162" t="s">
        <v>850</v>
      </c>
      <c r="D162" t="s">
        <v>851</v>
      </c>
      <c r="E162" t="s">
        <v>159</v>
      </c>
      <c r="F162" t="s">
        <v>159</v>
      </c>
      <c r="I162" t="s">
        <v>160</v>
      </c>
      <c r="J162">
        <v>10000</v>
      </c>
      <c r="L162">
        <v>160</v>
      </c>
      <c r="M162" t="s">
        <v>852</v>
      </c>
      <c r="N162" t="s">
        <v>853</v>
      </c>
    </row>
    <row r="163" spans="1:14">
      <c r="A163" t="s">
        <v>854</v>
      </c>
      <c r="B163" t="s">
        <v>855</v>
      </c>
      <c r="C163" t="s">
        <v>856</v>
      </c>
      <c r="D163" t="s">
        <v>857</v>
      </c>
      <c r="E163" t="s">
        <v>159</v>
      </c>
      <c r="F163" t="s">
        <v>159</v>
      </c>
      <c r="I163" t="s">
        <v>160</v>
      </c>
      <c r="J163">
        <v>10000</v>
      </c>
      <c r="L163">
        <v>161</v>
      </c>
      <c r="M163" t="s">
        <v>858</v>
      </c>
      <c r="N163" t="s">
        <v>363</v>
      </c>
    </row>
    <row r="164" spans="1:14">
      <c r="A164" t="s">
        <v>859</v>
      </c>
      <c r="B164" t="s">
        <v>860</v>
      </c>
      <c r="C164" t="s">
        <v>861</v>
      </c>
      <c r="D164" t="s">
        <v>862</v>
      </c>
      <c r="E164" t="s">
        <v>159</v>
      </c>
      <c r="F164" t="s">
        <v>159</v>
      </c>
      <c r="I164" t="s">
        <v>160</v>
      </c>
      <c r="J164">
        <v>10000</v>
      </c>
      <c r="L164">
        <v>162</v>
      </c>
      <c r="M164" t="s">
        <v>863</v>
      </c>
      <c r="N164" t="s">
        <v>853</v>
      </c>
    </row>
    <row r="165" spans="1:14">
      <c r="A165" t="s">
        <v>864</v>
      </c>
      <c r="B165" t="s">
        <v>865</v>
      </c>
      <c r="C165" t="s">
        <v>866</v>
      </c>
      <c r="D165" t="s">
        <v>867</v>
      </c>
      <c r="E165" t="s">
        <v>159</v>
      </c>
      <c r="F165" t="s">
        <v>159</v>
      </c>
      <c r="I165" t="s">
        <v>160</v>
      </c>
      <c r="J165">
        <v>10000</v>
      </c>
      <c r="L165">
        <v>163</v>
      </c>
      <c r="M165" t="s">
        <v>868</v>
      </c>
      <c r="N165" t="s">
        <v>363</v>
      </c>
    </row>
    <row r="166" spans="1:14">
      <c r="A166" t="s">
        <v>869</v>
      </c>
      <c r="B166" t="s">
        <v>870</v>
      </c>
      <c r="C166">
        <v>2231</v>
      </c>
      <c r="D166" t="s">
        <v>871</v>
      </c>
      <c r="E166" t="s">
        <v>159</v>
      </c>
      <c r="G166" t="s">
        <v>160</v>
      </c>
      <c r="J166">
        <v>2000</v>
      </c>
      <c r="L166">
        <v>164</v>
      </c>
      <c r="M166" t="s">
        <v>872</v>
      </c>
      <c r="N166" t="s">
        <v>873</v>
      </c>
    </row>
    <row r="167" spans="1:14">
      <c r="A167" t="s">
        <v>874</v>
      </c>
      <c r="B167" t="s">
        <v>875</v>
      </c>
      <c r="C167">
        <v>6116</v>
      </c>
      <c r="D167" t="s">
        <v>876</v>
      </c>
      <c r="E167" t="s">
        <v>159</v>
      </c>
      <c r="G167" t="s">
        <v>160</v>
      </c>
      <c r="J167">
        <v>2000</v>
      </c>
      <c r="L167">
        <v>165</v>
      </c>
      <c r="M167" t="s">
        <v>877</v>
      </c>
      <c r="N167" t="s">
        <v>372</v>
      </c>
    </row>
    <row r="168" spans="1:14">
      <c r="A168" t="s">
        <v>878</v>
      </c>
      <c r="B168" t="s">
        <v>879</v>
      </c>
      <c r="C168">
        <v>6279</v>
      </c>
      <c r="D168" t="s">
        <v>880</v>
      </c>
      <c r="E168" t="s">
        <v>159</v>
      </c>
      <c r="H168" t="s">
        <v>160</v>
      </c>
      <c r="J168">
        <v>2000</v>
      </c>
      <c r="L168">
        <v>166</v>
      </c>
      <c r="M168" t="s">
        <v>881</v>
      </c>
      <c r="N168" t="s">
        <v>873</v>
      </c>
    </row>
    <row r="169" spans="1:14">
      <c r="A169" t="s">
        <v>882</v>
      </c>
      <c r="B169" t="s">
        <v>883</v>
      </c>
      <c r="C169" t="s">
        <v>884</v>
      </c>
      <c r="D169" t="s">
        <v>885</v>
      </c>
      <c r="E169" t="s">
        <v>159</v>
      </c>
      <c r="F169" t="s">
        <v>159</v>
      </c>
      <c r="I169" t="s">
        <v>160</v>
      </c>
      <c r="J169">
        <v>10000</v>
      </c>
      <c r="L169">
        <v>167</v>
      </c>
      <c r="M169" t="s">
        <v>886</v>
      </c>
      <c r="N169" t="s">
        <v>372</v>
      </c>
    </row>
    <row r="170" spans="1:14">
      <c r="A170" t="s">
        <v>887</v>
      </c>
      <c r="B170" t="s">
        <v>888</v>
      </c>
      <c r="C170" t="s">
        <v>889</v>
      </c>
      <c r="D170" t="s">
        <v>890</v>
      </c>
      <c r="E170" t="s">
        <v>159</v>
      </c>
      <c r="F170" t="s">
        <v>159</v>
      </c>
      <c r="I170" t="s">
        <v>160</v>
      </c>
      <c r="J170">
        <v>10000</v>
      </c>
      <c r="L170">
        <v>168</v>
      </c>
      <c r="M170" t="s">
        <v>231</v>
      </c>
      <c r="N170" t="s">
        <v>891</v>
      </c>
    </row>
    <row r="171" spans="1:14">
      <c r="A171" t="s">
        <v>892</v>
      </c>
      <c r="B171" t="s">
        <v>542</v>
      </c>
      <c r="C171" t="s">
        <v>893</v>
      </c>
      <c r="D171" t="s">
        <v>894</v>
      </c>
      <c r="E171" t="s">
        <v>159</v>
      </c>
      <c r="G171" t="s">
        <v>160</v>
      </c>
      <c r="J171">
        <v>100</v>
      </c>
      <c r="L171">
        <v>169</v>
      </c>
      <c r="M171" t="s">
        <v>895</v>
      </c>
      <c r="N171" t="s">
        <v>896</v>
      </c>
    </row>
    <row r="172" spans="1:14">
      <c r="A172" t="s">
        <v>897</v>
      </c>
      <c r="B172" t="s">
        <v>768</v>
      </c>
      <c r="C172" t="s">
        <v>898</v>
      </c>
      <c r="D172" t="s">
        <v>899</v>
      </c>
      <c r="E172" t="s">
        <v>159</v>
      </c>
      <c r="H172" t="s">
        <v>160</v>
      </c>
      <c r="J172">
        <v>100</v>
      </c>
      <c r="L172">
        <v>170</v>
      </c>
      <c r="M172" t="s">
        <v>900</v>
      </c>
      <c r="N172" t="s">
        <v>896</v>
      </c>
    </row>
    <row r="173" spans="1:14">
      <c r="A173" t="s">
        <v>901</v>
      </c>
      <c r="B173" t="s">
        <v>902</v>
      </c>
      <c r="C173" t="s">
        <v>903</v>
      </c>
      <c r="D173" t="s">
        <v>904</v>
      </c>
      <c r="E173" t="s">
        <v>159</v>
      </c>
      <c r="F173" t="s">
        <v>159</v>
      </c>
      <c r="I173" t="s">
        <v>160</v>
      </c>
      <c r="J173">
        <v>10000</v>
      </c>
      <c r="L173">
        <v>171</v>
      </c>
      <c r="M173" t="s">
        <v>905</v>
      </c>
      <c r="N173" t="s">
        <v>381</v>
      </c>
    </row>
    <row r="174" spans="1:14">
      <c r="A174" t="s">
        <v>906</v>
      </c>
      <c r="B174" t="s">
        <v>907</v>
      </c>
      <c r="C174">
        <v>2345</v>
      </c>
      <c r="D174" t="s">
        <v>908</v>
      </c>
      <c r="E174" t="s">
        <v>159</v>
      </c>
      <c r="G174" t="s">
        <v>160</v>
      </c>
      <c r="J174">
        <v>2000</v>
      </c>
      <c r="L174">
        <v>172</v>
      </c>
      <c r="M174" t="s">
        <v>909</v>
      </c>
      <c r="N174" t="s">
        <v>910</v>
      </c>
    </row>
    <row r="175" spans="1:14">
      <c r="A175" t="s">
        <v>911</v>
      </c>
      <c r="B175" t="s">
        <v>912</v>
      </c>
      <c r="C175">
        <v>6414</v>
      </c>
      <c r="D175" t="s">
        <v>913</v>
      </c>
      <c r="E175" t="s">
        <v>159</v>
      </c>
      <c r="G175" t="s">
        <v>160</v>
      </c>
      <c r="J175">
        <v>2000</v>
      </c>
      <c r="L175">
        <v>173</v>
      </c>
      <c r="M175" t="s">
        <v>914</v>
      </c>
      <c r="N175" t="s">
        <v>386</v>
      </c>
    </row>
    <row r="176" spans="1:14">
      <c r="A176" t="s">
        <v>915</v>
      </c>
      <c r="B176" t="s">
        <v>916</v>
      </c>
      <c r="C176">
        <v>1536</v>
      </c>
      <c r="D176" t="s">
        <v>917</v>
      </c>
      <c r="E176" t="s">
        <v>159</v>
      </c>
      <c r="G176" t="s">
        <v>160</v>
      </c>
      <c r="J176">
        <v>2000</v>
      </c>
      <c r="L176">
        <v>174</v>
      </c>
      <c r="M176" t="s">
        <v>918</v>
      </c>
      <c r="N176" t="s">
        <v>910</v>
      </c>
    </row>
    <row r="177" spans="1:14">
      <c r="A177" t="s">
        <v>919</v>
      </c>
      <c r="B177" t="s">
        <v>920</v>
      </c>
      <c r="C177">
        <v>1909</v>
      </c>
      <c r="D177" t="s">
        <v>921</v>
      </c>
      <c r="E177" t="s">
        <v>159</v>
      </c>
      <c r="G177" t="s">
        <v>160</v>
      </c>
      <c r="J177">
        <v>2000</v>
      </c>
      <c r="L177">
        <v>175</v>
      </c>
      <c r="M177" t="s">
        <v>922</v>
      </c>
      <c r="N177" t="s">
        <v>386</v>
      </c>
    </row>
    <row r="178" spans="1:14">
      <c r="A178" t="s">
        <v>923</v>
      </c>
      <c r="B178" t="s">
        <v>924</v>
      </c>
      <c r="C178">
        <v>3081</v>
      </c>
      <c r="D178" t="s">
        <v>925</v>
      </c>
      <c r="E178" t="s">
        <v>159</v>
      </c>
      <c r="H178" t="s">
        <v>160</v>
      </c>
      <c r="J178">
        <v>2000</v>
      </c>
      <c r="L178">
        <v>176</v>
      </c>
      <c r="M178" t="s">
        <v>236</v>
      </c>
      <c r="N178" t="s">
        <v>926</v>
      </c>
    </row>
    <row r="179" spans="1:14">
      <c r="A179" t="s">
        <v>927</v>
      </c>
      <c r="B179" t="s">
        <v>928</v>
      </c>
      <c r="C179">
        <v>3552</v>
      </c>
      <c r="D179" t="s">
        <v>929</v>
      </c>
      <c r="E179" t="s">
        <v>159</v>
      </c>
      <c r="H179" t="s">
        <v>160</v>
      </c>
      <c r="J179">
        <v>2000</v>
      </c>
      <c r="L179">
        <v>177</v>
      </c>
      <c r="M179" t="s">
        <v>930</v>
      </c>
      <c r="N179" t="s">
        <v>931</v>
      </c>
    </row>
    <row r="180" spans="1:14">
      <c r="A180" t="s">
        <v>932</v>
      </c>
      <c r="B180" t="s">
        <v>933</v>
      </c>
      <c r="C180">
        <v>6274</v>
      </c>
      <c r="D180" t="s">
        <v>934</v>
      </c>
      <c r="E180" t="s">
        <v>159</v>
      </c>
      <c r="H180" t="s">
        <v>160</v>
      </c>
      <c r="J180">
        <v>2000</v>
      </c>
      <c r="L180">
        <v>178</v>
      </c>
      <c r="M180" t="s">
        <v>935</v>
      </c>
      <c r="N180" t="s">
        <v>931</v>
      </c>
    </row>
    <row r="181" spans="1:14">
      <c r="A181" t="s">
        <v>936</v>
      </c>
      <c r="B181" t="s">
        <v>937</v>
      </c>
      <c r="C181">
        <v>6488</v>
      </c>
      <c r="D181" t="s">
        <v>938</v>
      </c>
      <c r="E181" t="s">
        <v>159</v>
      </c>
      <c r="H181" t="s">
        <v>160</v>
      </c>
      <c r="J181">
        <v>2000</v>
      </c>
      <c r="L181">
        <v>179</v>
      </c>
      <c r="M181" t="s">
        <v>939</v>
      </c>
      <c r="N181" t="s">
        <v>395</v>
      </c>
    </row>
    <row r="182" spans="1:14">
      <c r="A182" t="s">
        <v>940</v>
      </c>
      <c r="B182" t="s">
        <v>941</v>
      </c>
      <c r="C182">
        <v>6510</v>
      </c>
      <c r="D182" t="s">
        <v>942</v>
      </c>
      <c r="E182" t="s">
        <v>159</v>
      </c>
      <c r="H182" t="s">
        <v>160</v>
      </c>
      <c r="J182">
        <v>2000</v>
      </c>
      <c r="L182">
        <v>180</v>
      </c>
      <c r="M182" t="s">
        <v>943</v>
      </c>
      <c r="N182" t="s">
        <v>944</v>
      </c>
    </row>
    <row r="183" spans="1:14">
      <c r="A183" t="s">
        <v>945</v>
      </c>
      <c r="B183" t="s">
        <v>941</v>
      </c>
      <c r="C183" t="s">
        <v>946</v>
      </c>
      <c r="D183" t="s">
        <v>947</v>
      </c>
      <c r="E183" t="s">
        <v>159</v>
      </c>
      <c r="H183" t="s">
        <v>160</v>
      </c>
      <c r="J183">
        <v>100</v>
      </c>
      <c r="L183">
        <v>181</v>
      </c>
      <c r="M183" t="s">
        <v>948</v>
      </c>
      <c r="N183" t="s">
        <v>404</v>
      </c>
    </row>
    <row r="184" spans="1:14">
      <c r="A184" t="s">
        <v>949</v>
      </c>
      <c r="B184" t="s">
        <v>950</v>
      </c>
      <c r="C184">
        <v>3711</v>
      </c>
      <c r="D184" t="s">
        <v>951</v>
      </c>
      <c r="E184" t="s">
        <v>159</v>
      </c>
      <c r="F184" t="s">
        <v>159</v>
      </c>
      <c r="G184" t="s">
        <v>160</v>
      </c>
      <c r="J184">
        <v>2000</v>
      </c>
      <c r="L184">
        <v>182</v>
      </c>
      <c r="M184" t="s">
        <v>952</v>
      </c>
      <c r="N184" t="s">
        <v>953</v>
      </c>
    </row>
    <row r="185" spans="1:14">
      <c r="A185" t="s">
        <v>954</v>
      </c>
      <c r="B185" t="s">
        <v>955</v>
      </c>
      <c r="C185">
        <v>3227</v>
      </c>
      <c r="D185" t="s">
        <v>956</v>
      </c>
      <c r="E185" t="s">
        <v>159</v>
      </c>
      <c r="H185" t="s">
        <v>160</v>
      </c>
      <c r="J185">
        <v>2000</v>
      </c>
      <c r="L185">
        <v>183</v>
      </c>
      <c r="M185" t="s">
        <v>957</v>
      </c>
      <c r="N185" t="s">
        <v>404</v>
      </c>
    </row>
    <row r="186" spans="1:14">
      <c r="A186" t="s">
        <v>958</v>
      </c>
      <c r="B186" t="s">
        <v>937</v>
      </c>
      <c r="C186" t="s">
        <v>959</v>
      </c>
      <c r="D186" t="s">
        <v>960</v>
      </c>
      <c r="E186" t="s">
        <v>159</v>
      </c>
      <c r="H186" t="s">
        <v>160</v>
      </c>
      <c r="J186">
        <v>100</v>
      </c>
      <c r="L186">
        <v>184</v>
      </c>
      <c r="M186" t="s">
        <v>240</v>
      </c>
      <c r="N186" t="s">
        <v>961</v>
      </c>
    </row>
    <row r="187" spans="1:14">
      <c r="A187" t="s">
        <v>962</v>
      </c>
      <c r="B187" t="s">
        <v>963</v>
      </c>
      <c r="C187">
        <v>4162</v>
      </c>
      <c r="D187" t="s">
        <v>964</v>
      </c>
      <c r="E187" t="s">
        <v>159</v>
      </c>
      <c r="H187" t="s">
        <v>160</v>
      </c>
      <c r="J187">
        <v>2000</v>
      </c>
      <c r="L187">
        <v>185</v>
      </c>
      <c r="M187" t="s">
        <v>965</v>
      </c>
      <c r="N187" t="s">
        <v>409</v>
      </c>
    </row>
    <row r="188" spans="1:14">
      <c r="A188" t="s">
        <v>966</v>
      </c>
      <c r="B188" t="s">
        <v>967</v>
      </c>
      <c r="C188">
        <v>4736</v>
      </c>
      <c r="D188" t="s">
        <v>968</v>
      </c>
      <c r="E188" t="s">
        <v>159</v>
      </c>
      <c r="H188" t="s">
        <v>160</v>
      </c>
      <c r="J188">
        <v>2000</v>
      </c>
      <c r="L188">
        <v>186</v>
      </c>
      <c r="M188" t="s">
        <v>969</v>
      </c>
      <c r="N188" t="s">
        <v>970</v>
      </c>
    </row>
    <row r="189" spans="1:14">
      <c r="A189" t="s">
        <v>971</v>
      </c>
      <c r="B189" t="s">
        <v>972</v>
      </c>
      <c r="C189">
        <v>5425</v>
      </c>
      <c r="D189" t="s">
        <v>973</v>
      </c>
      <c r="E189" t="s">
        <v>159</v>
      </c>
      <c r="H189" t="s">
        <v>160</v>
      </c>
      <c r="J189">
        <v>2000</v>
      </c>
      <c r="L189">
        <v>187</v>
      </c>
      <c r="M189" t="s">
        <v>974</v>
      </c>
      <c r="N189" t="s">
        <v>409</v>
      </c>
    </row>
    <row r="190" spans="1:14">
      <c r="A190" t="s">
        <v>975</v>
      </c>
      <c r="B190" t="s">
        <v>976</v>
      </c>
      <c r="C190" t="s">
        <v>977</v>
      </c>
      <c r="D190" t="s">
        <v>978</v>
      </c>
      <c r="E190" t="s">
        <v>159</v>
      </c>
      <c r="I190" t="s">
        <v>160</v>
      </c>
      <c r="J190">
        <v>10000</v>
      </c>
      <c r="L190">
        <v>188</v>
      </c>
      <c r="M190" t="s">
        <v>244</v>
      </c>
      <c r="N190" t="s">
        <v>979</v>
      </c>
    </row>
    <row r="191" spans="1:14">
      <c r="A191" t="s">
        <v>980</v>
      </c>
      <c r="B191" t="s">
        <v>981</v>
      </c>
      <c r="C191">
        <v>2633</v>
      </c>
      <c r="D191" t="s">
        <v>982</v>
      </c>
      <c r="E191" t="s">
        <v>159</v>
      </c>
      <c r="G191" t="s">
        <v>160</v>
      </c>
      <c r="J191">
        <v>2000</v>
      </c>
      <c r="L191">
        <v>189</v>
      </c>
      <c r="M191" t="s">
        <v>983</v>
      </c>
      <c r="N191" t="s">
        <v>984</v>
      </c>
    </row>
    <row r="192" spans="1:14">
      <c r="A192" t="s">
        <v>985</v>
      </c>
      <c r="B192" t="s">
        <v>986</v>
      </c>
      <c r="C192">
        <v>5269</v>
      </c>
      <c r="D192" t="s">
        <v>987</v>
      </c>
      <c r="E192" t="s">
        <v>159</v>
      </c>
      <c r="G192" t="s">
        <v>160</v>
      </c>
      <c r="J192">
        <v>2000</v>
      </c>
      <c r="L192">
        <v>190</v>
      </c>
      <c r="M192" t="s">
        <v>988</v>
      </c>
      <c r="N192" t="s">
        <v>984</v>
      </c>
    </row>
    <row r="193" spans="1:14">
      <c r="A193" t="s">
        <v>989</v>
      </c>
      <c r="B193" t="s">
        <v>990</v>
      </c>
      <c r="C193">
        <v>3529</v>
      </c>
      <c r="D193" t="s">
        <v>991</v>
      </c>
      <c r="E193" t="s">
        <v>159</v>
      </c>
      <c r="H193" t="s">
        <v>160</v>
      </c>
      <c r="J193">
        <v>2000</v>
      </c>
      <c r="L193">
        <v>191</v>
      </c>
      <c r="M193" t="s">
        <v>992</v>
      </c>
      <c r="N193" t="s">
        <v>418</v>
      </c>
    </row>
    <row r="194" spans="1:14">
      <c r="A194" t="s">
        <v>993</v>
      </c>
      <c r="B194" t="s">
        <v>994</v>
      </c>
      <c r="C194">
        <v>2383</v>
      </c>
      <c r="D194" t="s">
        <v>995</v>
      </c>
      <c r="E194" t="s">
        <v>159</v>
      </c>
      <c r="G194" t="s">
        <v>160</v>
      </c>
      <c r="J194">
        <v>2000</v>
      </c>
      <c r="L194">
        <v>192</v>
      </c>
      <c r="M194" t="s">
        <v>996</v>
      </c>
      <c r="N194" t="s">
        <v>984</v>
      </c>
    </row>
    <row r="195" spans="1:14">
      <c r="A195" t="s">
        <v>997</v>
      </c>
      <c r="B195" t="s">
        <v>998</v>
      </c>
      <c r="C195">
        <v>6173</v>
      </c>
      <c r="D195" t="s">
        <v>999</v>
      </c>
      <c r="E195" t="s">
        <v>159</v>
      </c>
      <c r="H195" t="s">
        <v>160</v>
      </c>
      <c r="J195">
        <v>2000</v>
      </c>
      <c r="L195">
        <v>193</v>
      </c>
      <c r="M195" t="s">
        <v>1000</v>
      </c>
      <c r="N195" t="s">
        <v>418</v>
      </c>
    </row>
    <row r="196" spans="1:14">
      <c r="A196" t="s">
        <v>1001</v>
      </c>
      <c r="B196" t="s">
        <v>1002</v>
      </c>
      <c r="C196">
        <v>6182</v>
      </c>
      <c r="D196" t="s">
        <v>1003</v>
      </c>
      <c r="E196" t="s">
        <v>159</v>
      </c>
      <c r="H196" t="s">
        <v>160</v>
      </c>
      <c r="J196">
        <v>2000</v>
      </c>
      <c r="L196">
        <v>194</v>
      </c>
      <c r="M196" t="s">
        <v>1004</v>
      </c>
      <c r="N196" t="s">
        <v>1005</v>
      </c>
    </row>
    <row r="197" spans="1:14">
      <c r="A197" t="s">
        <v>1006</v>
      </c>
      <c r="B197" t="s">
        <v>1007</v>
      </c>
      <c r="C197">
        <v>8436</v>
      </c>
      <c r="D197" t="s">
        <v>1008</v>
      </c>
      <c r="E197" t="s">
        <v>159</v>
      </c>
      <c r="H197" t="s">
        <v>160</v>
      </c>
      <c r="J197">
        <v>2000</v>
      </c>
      <c r="L197">
        <v>195</v>
      </c>
      <c r="M197" t="s">
        <v>1009</v>
      </c>
      <c r="N197" t="s">
        <v>1010</v>
      </c>
    </row>
    <row r="198" spans="1:14">
      <c r="A198" t="s">
        <v>1011</v>
      </c>
      <c r="B198" t="s">
        <v>986</v>
      </c>
      <c r="C198" t="s">
        <v>1012</v>
      </c>
      <c r="D198" t="s">
        <v>1013</v>
      </c>
      <c r="E198" t="s">
        <v>159</v>
      </c>
      <c r="G198" t="s">
        <v>160</v>
      </c>
      <c r="J198">
        <v>100</v>
      </c>
      <c r="L198">
        <v>196</v>
      </c>
      <c r="M198" t="s">
        <v>1014</v>
      </c>
      <c r="N198" t="s">
        <v>427</v>
      </c>
    </row>
    <row r="199" spans="1:14">
      <c r="A199" t="s">
        <v>1015</v>
      </c>
      <c r="B199" t="s">
        <v>1016</v>
      </c>
      <c r="C199">
        <v>6462</v>
      </c>
      <c r="D199" t="s">
        <v>1017</v>
      </c>
      <c r="E199" t="s">
        <v>159</v>
      </c>
      <c r="H199" t="s">
        <v>160</v>
      </c>
      <c r="J199">
        <v>2000</v>
      </c>
      <c r="L199">
        <v>197</v>
      </c>
      <c r="M199" t="s">
        <v>1018</v>
      </c>
      <c r="N199" t="s">
        <v>1010</v>
      </c>
    </row>
    <row r="200" spans="1:14">
      <c r="A200" t="s">
        <v>1019</v>
      </c>
      <c r="B200" t="s">
        <v>1020</v>
      </c>
      <c r="C200">
        <v>5457</v>
      </c>
      <c r="D200" t="s">
        <v>1021</v>
      </c>
      <c r="E200" t="s">
        <v>159</v>
      </c>
      <c r="H200" t="s">
        <v>160</v>
      </c>
      <c r="J200">
        <v>2000</v>
      </c>
      <c r="L200">
        <v>198</v>
      </c>
      <c r="M200" t="s">
        <v>1022</v>
      </c>
      <c r="N200" t="s">
        <v>427</v>
      </c>
    </row>
    <row r="201" spans="1:14">
      <c r="A201" t="s">
        <v>1023</v>
      </c>
      <c r="B201" t="s">
        <v>1024</v>
      </c>
      <c r="C201">
        <v>8358</v>
      </c>
      <c r="D201" t="s">
        <v>1025</v>
      </c>
      <c r="E201" t="s">
        <v>159</v>
      </c>
      <c r="H201" t="s">
        <v>160</v>
      </c>
      <c r="J201">
        <v>2000</v>
      </c>
      <c r="L201">
        <v>199</v>
      </c>
      <c r="M201" t="s">
        <v>1026</v>
      </c>
      <c r="N201" t="s">
        <v>1027</v>
      </c>
    </row>
    <row r="202" spans="1:14">
      <c r="A202" t="s">
        <v>1028</v>
      </c>
      <c r="B202" t="s">
        <v>1029</v>
      </c>
      <c r="C202">
        <v>8086</v>
      </c>
      <c r="D202" t="s">
        <v>1030</v>
      </c>
      <c r="E202" t="s">
        <v>159</v>
      </c>
      <c r="H202" t="s">
        <v>160</v>
      </c>
      <c r="J202">
        <v>2000</v>
      </c>
      <c r="L202">
        <v>200</v>
      </c>
      <c r="M202" t="s">
        <v>1031</v>
      </c>
      <c r="N202" t="s">
        <v>1032</v>
      </c>
    </row>
    <row r="203" spans="1:14">
      <c r="A203" t="s">
        <v>1033</v>
      </c>
      <c r="B203" t="s">
        <v>1034</v>
      </c>
      <c r="C203">
        <v>3706</v>
      </c>
      <c r="D203" t="s">
        <v>1035</v>
      </c>
      <c r="E203" t="s">
        <v>159</v>
      </c>
      <c r="G203" t="s">
        <v>160</v>
      </c>
      <c r="J203">
        <v>2000</v>
      </c>
      <c r="L203">
        <v>201</v>
      </c>
      <c r="M203" t="s">
        <v>1036</v>
      </c>
      <c r="N203" t="s">
        <v>436</v>
      </c>
    </row>
    <row r="204" spans="1:14">
      <c r="A204" t="s">
        <v>1037</v>
      </c>
      <c r="B204" t="s">
        <v>1038</v>
      </c>
      <c r="C204">
        <v>3324</v>
      </c>
      <c r="D204" t="s">
        <v>1039</v>
      </c>
      <c r="E204" t="s">
        <v>159</v>
      </c>
      <c r="H204" t="s">
        <v>160</v>
      </c>
      <c r="J204">
        <v>2000</v>
      </c>
      <c r="L204">
        <v>202</v>
      </c>
      <c r="M204" t="s">
        <v>1040</v>
      </c>
      <c r="N204" t="s">
        <v>1032</v>
      </c>
    </row>
    <row r="205" spans="1:14">
      <c r="A205" t="s">
        <v>1041</v>
      </c>
      <c r="B205" t="s">
        <v>315</v>
      </c>
      <c r="C205" t="s">
        <v>1042</v>
      </c>
      <c r="D205" t="s">
        <v>1043</v>
      </c>
      <c r="E205" t="s">
        <v>159</v>
      </c>
      <c r="G205" t="s">
        <v>160</v>
      </c>
      <c r="J205">
        <v>100</v>
      </c>
      <c r="L205">
        <v>203</v>
      </c>
      <c r="M205" t="s">
        <v>1044</v>
      </c>
      <c r="N205" t="s">
        <v>436</v>
      </c>
    </row>
    <row r="206" spans="1:14">
      <c r="A206" t="s">
        <v>1045</v>
      </c>
      <c r="B206" t="s">
        <v>1046</v>
      </c>
      <c r="C206">
        <v>6669</v>
      </c>
      <c r="D206" t="s">
        <v>1047</v>
      </c>
      <c r="E206" t="s">
        <v>159</v>
      </c>
      <c r="G206" t="s">
        <v>160</v>
      </c>
      <c r="J206">
        <v>2000</v>
      </c>
      <c r="L206">
        <v>204</v>
      </c>
      <c r="M206" t="s">
        <v>248</v>
      </c>
      <c r="N206" t="s">
        <v>1048</v>
      </c>
    </row>
    <row r="207" spans="1:14">
      <c r="A207" t="s">
        <v>1049</v>
      </c>
      <c r="B207" t="s">
        <v>1046</v>
      </c>
      <c r="C207" t="s">
        <v>1050</v>
      </c>
      <c r="D207" t="s">
        <v>1051</v>
      </c>
      <c r="E207" t="s">
        <v>159</v>
      </c>
      <c r="G207" t="s">
        <v>160</v>
      </c>
      <c r="J207">
        <v>100</v>
      </c>
      <c r="L207">
        <v>205</v>
      </c>
      <c r="M207" t="s">
        <v>1052</v>
      </c>
      <c r="N207" t="s">
        <v>1053</v>
      </c>
    </row>
    <row r="208" spans="1:14">
      <c r="A208" t="s">
        <v>1054</v>
      </c>
      <c r="B208" t="s">
        <v>1055</v>
      </c>
      <c r="C208">
        <v>3293</v>
      </c>
      <c r="D208" t="s">
        <v>1056</v>
      </c>
      <c r="E208" t="s">
        <v>159</v>
      </c>
      <c r="H208" t="s">
        <v>160</v>
      </c>
      <c r="J208">
        <v>2000</v>
      </c>
      <c r="L208">
        <v>206</v>
      </c>
      <c r="M208" t="s">
        <v>1057</v>
      </c>
      <c r="N208" t="s">
        <v>445</v>
      </c>
    </row>
    <row r="209" spans="1:14">
      <c r="A209" t="s">
        <v>1058</v>
      </c>
      <c r="B209" t="s">
        <v>1055</v>
      </c>
      <c r="C209" t="s">
        <v>1059</v>
      </c>
      <c r="D209" t="s">
        <v>1060</v>
      </c>
      <c r="E209" t="s">
        <v>159</v>
      </c>
      <c r="H209" t="s">
        <v>160</v>
      </c>
      <c r="J209">
        <v>100</v>
      </c>
      <c r="L209">
        <v>207</v>
      </c>
      <c r="M209" t="s">
        <v>1061</v>
      </c>
      <c r="N209" t="s">
        <v>1053</v>
      </c>
    </row>
    <row r="210" spans="1:14">
      <c r="A210" t="s">
        <v>1062</v>
      </c>
      <c r="B210" t="s">
        <v>1063</v>
      </c>
      <c r="C210">
        <v>5274</v>
      </c>
      <c r="D210" t="s">
        <v>1064</v>
      </c>
      <c r="E210" t="s">
        <v>159</v>
      </c>
      <c r="H210" t="s">
        <v>160</v>
      </c>
      <c r="J210">
        <v>2000</v>
      </c>
      <c r="L210">
        <v>208</v>
      </c>
      <c r="M210" t="s">
        <v>1065</v>
      </c>
      <c r="N210" t="s">
        <v>445</v>
      </c>
    </row>
    <row r="211" spans="1:14">
      <c r="A211" t="s">
        <v>1066</v>
      </c>
      <c r="B211" t="s">
        <v>1063</v>
      </c>
      <c r="C211" t="s">
        <v>1067</v>
      </c>
      <c r="D211" t="s">
        <v>1068</v>
      </c>
      <c r="E211" t="s">
        <v>159</v>
      </c>
      <c r="H211" t="s">
        <v>160</v>
      </c>
      <c r="J211">
        <v>100</v>
      </c>
      <c r="L211">
        <v>209</v>
      </c>
      <c r="M211" t="s">
        <v>253</v>
      </c>
      <c r="N211" t="s">
        <v>1069</v>
      </c>
    </row>
    <row r="212" spans="1:14">
      <c r="A212" t="s">
        <v>1070</v>
      </c>
      <c r="B212" t="s">
        <v>1071</v>
      </c>
      <c r="C212">
        <v>3714</v>
      </c>
      <c r="D212" t="s">
        <v>1072</v>
      </c>
      <c r="E212" t="s">
        <v>159</v>
      </c>
      <c r="F212" t="s">
        <v>159</v>
      </c>
      <c r="G212" t="s">
        <v>160</v>
      </c>
      <c r="J212">
        <v>2000</v>
      </c>
      <c r="L212">
        <v>210</v>
      </c>
      <c r="M212" t="s">
        <v>1073</v>
      </c>
      <c r="N212" t="s">
        <v>1074</v>
      </c>
    </row>
    <row r="213" spans="1:14">
      <c r="A213" t="s">
        <v>1075</v>
      </c>
      <c r="B213" t="s">
        <v>1076</v>
      </c>
      <c r="C213">
        <v>2606</v>
      </c>
      <c r="D213" t="s">
        <v>1077</v>
      </c>
      <c r="E213" t="s">
        <v>159</v>
      </c>
      <c r="G213" t="s">
        <v>160</v>
      </c>
      <c r="J213">
        <v>2000</v>
      </c>
      <c r="L213">
        <v>211</v>
      </c>
      <c r="M213" t="s">
        <v>1078</v>
      </c>
      <c r="N213" t="s">
        <v>1074</v>
      </c>
    </row>
    <row r="214" spans="1:14">
      <c r="A214" t="s">
        <v>1079</v>
      </c>
      <c r="B214" t="s">
        <v>1080</v>
      </c>
      <c r="C214">
        <v>3532</v>
      </c>
      <c r="D214" t="s">
        <v>1081</v>
      </c>
      <c r="E214" t="s">
        <v>159</v>
      </c>
      <c r="G214" t="s">
        <v>160</v>
      </c>
      <c r="J214">
        <v>2000</v>
      </c>
      <c r="L214">
        <v>212</v>
      </c>
      <c r="M214" t="s">
        <v>1082</v>
      </c>
      <c r="N214" t="s">
        <v>454</v>
      </c>
    </row>
    <row r="215" spans="1:14">
      <c r="A215" t="s">
        <v>1083</v>
      </c>
      <c r="B215" t="s">
        <v>730</v>
      </c>
      <c r="C215" t="s">
        <v>1084</v>
      </c>
      <c r="D215" t="s">
        <v>1085</v>
      </c>
      <c r="E215" t="s">
        <v>159</v>
      </c>
      <c r="G215" t="s">
        <v>160</v>
      </c>
      <c r="J215">
        <v>100</v>
      </c>
      <c r="L215">
        <v>213</v>
      </c>
      <c r="M215" t="s">
        <v>1086</v>
      </c>
      <c r="N215" t="s">
        <v>1074</v>
      </c>
    </row>
    <row r="216" spans="1:14">
      <c r="A216" t="s">
        <v>1087</v>
      </c>
      <c r="B216" t="s">
        <v>174</v>
      </c>
      <c r="C216" t="s">
        <v>1088</v>
      </c>
      <c r="D216" t="s">
        <v>1089</v>
      </c>
      <c r="E216" t="s">
        <v>159</v>
      </c>
      <c r="G216" t="s">
        <v>160</v>
      </c>
      <c r="J216">
        <v>100</v>
      </c>
      <c r="L216">
        <v>214</v>
      </c>
      <c r="M216" t="s">
        <v>1090</v>
      </c>
      <c r="N216" t="s">
        <v>454</v>
      </c>
    </row>
    <row r="217" spans="1:14">
      <c r="A217" t="s">
        <v>1091</v>
      </c>
      <c r="B217" t="s">
        <v>447</v>
      </c>
      <c r="C217" t="s">
        <v>1092</v>
      </c>
      <c r="D217" t="s">
        <v>1093</v>
      </c>
      <c r="E217" t="s">
        <v>159</v>
      </c>
      <c r="G217" t="s">
        <v>160</v>
      </c>
      <c r="J217">
        <v>100</v>
      </c>
      <c r="L217">
        <v>215</v>
      </c>
      <c r="M217" t="s">
        <v>257</v>
      </c>
      <c r="N217" t="s">
        <v>1094</v>
      </c>
    </row>
    <row r="218" spans="1:14">
      <c r="A218" t="s">
        <v>1095</v>
      </c>
      <c r="B218" t="s">
        <v>550</v>
      </c>
      <c r="C218" t="s">
        <v>1096</v>
      </c>
      <c r="D218" t="s">
        <v>1097</v>
      </c>
      <c r="E218" t="s">
        <v>159</v>
      </c>
      <c r="G218" t="s">
        <v>160</v>
      </c>
      <c r="J218">
        <v>100</v>
      </c>
      <c r="L218">
        <v>216</v>
      </c>
      <c r="M218" t="s">
        <v>1098</v>
      </c>
      <c r="N218" t="s">
        <v>1099</v>
      </c>
    </row>
    <row r="219" spans="1:14">
      <c r="A219" t="s">
        <v>1100</v>
      </c>
      <c r="B219" t="s">
        <v>772</v>
      </c>
      <c r="C219" t="s">
        <v>1101</v>
      </c>
      <c r="D219" t="s">
        <v>1102</v>
      </c>
      <c r="E219" t="s">
        <v>159</v>
      </c>
      <c r="H219" t="s">
        <v>160</v>
      </c>
      <c r="J219">
        <v>100</v>
      </c>
      <c r="L219">
        <v>217</v>
      </c>
      <c r="M219" t="s">
        <v>1103</v>
      </c>
      <c r="N219" t="s">
        <v>1099</v>
      </c>
    </row>
    <row r="220" spans="1:14">
      <c r="A220" t="s">
        <v>1104</v>
      </c>
      <c r="B220" t="s">
        <v>689</v>
      </c>
      <c r="C220" t="s">
        <v>1105</v>
      </c>
      <c r="D220" t="s">
        <v>1106</v>
      </c>
      <c r="E220" t="s">
        <v>159</v>
      </c>
      <c r="G220" t="s">
        <v>160</v>
      </c>
      <c r="J220">
        <v>100</v>
      </c>
      <c r="L220">
        <v>218</v>
      </c>
      <c r="M220" t="s">
        <v>1107</v>
      </c>
      <c r="N220" t="s">
        <v>467</v>
      </c>
    </row>
    <row r="221" spans="1:14">
      <c r="A221" t="s">
        <v>1108</v>
      </c>
      <c r="B221" t="s">
        <v>1109</v>
      </c>
      <c r="C221">
        <v>1907</v>
      </c>
      <c r="D221" t="s">
        <v>1110</v>
      </c>
      <c r="E221" t="s">
        <v>159</v>
      </c>
      <c r="G221" t="s">
        <v>160</v>
      </c>
      <c r="J221">
        <v>2000</v>
      </c>
      <c r="L221">
        <v>219</v>
      </c>
      <c r="M221" t="s">
        <v>1111</v>
      </c>
      <c r="N221" t="s">
        <v>467</v>
      </c>
    </row>
    <row r="222" spans="1:14">
      <c r="A222" t="s">
        <v>1112</v>
      </c>
      <c r="B222" t="s">
        <v>1113</v>
      </c>
      <c r="C222">
        <v>3374</v>
      </c>
      <c r="D222" t="s">
        <v>1114</v>
      </c>
      <c r="E222" t="s">
        <v>159</v>
      </c>
      <c r="H222" t="s">
        <v>160</v>
      </c>
      <c r="J222">
        <v>2000</v>
      </c>
      <c r="L222">
        <v>220</v>
      </c>
      <c r="M222" t="s">
        <v>1115</v>
      </c>
      <c r="N222" t="s">
        <v>1099</v>
      </c>
    </row>
    <row r="223" spans="1:14">
      <c r="A223" t="s">
        <v>1116</v>
      </c>
      <c r="B223" t="s">
        <v>378</v>
      </c>
      <c r="C223" t="s">
        <v>1117</v>
      </c>
      <c r="D223" t="s">
        <v>1118</v>
      </c>
      <c r="E223" t="s">
        <v>159</v>
      </c>
      <c r="G223" t="s">
        <v>160</v>
      </c>
      <c r="J223">
        <v>100</v>
      </c>
      <c r="L223">
        <v>221</v>
      </c>
      <c r="M223" t="s">
        <v>1119</v>
      </c>
      <c r="N223" t="s">
        <v>467</v>
      </c>
    </row>
    <row r="224" spans="1:14">
      <c r="A224" t="s">
        <v>1120</v>
      </c>
      <c r="B224" t="s">
        <v>836</v>
      </c>
      <c r="C224" t="s">
        <v>1121</v>
      </c>
      <c r="D224" t="s">
        <v>1122</v>
      </c>
      <c r="E224" t="s">
        <v>159</v>
      </c>
      <c r="H224" t="s">
        <v>160</v>
      </c>
      <c r="J224">
        <v>100</v>
      </c>
      <c r="L224">
        <v>222</v>
      </c>
      <c r="M224" t="s">
        <v>262</v>
      </c>
      <c r="N224" t="s">
        <v>1123</v>
      </c>
    </row>
    <row r="225" spans="1:14">
      <c r="A225" t="s">
        <v>1124</v>
      </c>
      <c r="B225" t="s">
        <v>1125</v>
      </c>
      <c r="C225">
        <v>1717</v>
      </c>
      <c r="D225" t="s">
        <v>1126</v>
      </c>
      <c r="E225" t="s">
        <v>159</v>
      </c>
      <c r="G225" t="s">
        <v>160</v>
      </c>
      <c r="J225">
        <v>2000</v>
      </c>
      <c r="L225">
        <v>223</v>
      </c>
      <c r="M225" t="s">
        <v>1127</v>
      </c>
      <c r="N225" t="s">
        <v>1128</v>
      </c>
    </row>
    <row r="226" spans="1:14">
      <c r="A226" t="s">
        <v>1129</v>
      </c>
      <c r="B226" t="s">
        <v>1130</v>
      </c>
      <c r="C226">
        <v>1802</v>
      </c>
      <c r="D226" t="s">
        <v>1131</v>
      </c>
      <c r="E226" t="s">
        <v>159</v>
      </c>
      <c r="G226" t="s">
        <v>160</v>
      </c>
      <c r="J226">
        <v>2000</v>
      </c>
      <c r="L226">
        <v>224</v>
      </c>
      <c r="M226" t="s">
        <v>1132</v>
      </c>
      <c r="N226" t="s">
        <v>1128</v>
      </c>
    </row>
    <row r="227" spans="1:14">
      <c r="A227" t="s">
        <v>1133</v>
      </c>
      <c r="B227" t="s">
        <v>1134</v>
      </c>
      <c r="C227">
        <v>1904</v>
      </c>
      <c r="D227" t="s">
        <v>1135</v>
      </c>
      <c r="E227" t="s">
        <v>159</v>
      </c>
      <c r="G227" t="s">
        <v>160</v>
      </c>
      <c r="J227">
        <v>2000</v>
      </c>
      <c r="L227">
        <v>225</v>
      </c>
      <c r="M227" t="s">
        <v>1136</v>
      </c>
      <c r="N227" t="s">
        <v>1137</v>
      </c>
    </row>
    <row r="228" spans="1:14">
      <c r="A228" t="s">
        <v>1138</v>
      </c>
      <c r="B228" t="s">
        <v>1139</v>
      </c>
      <c r="C228">
        <v>2006</v>
      </c>
      <c r="D228" t="s">
        <v>1140</v>
      </c>
      <c r="E228" t="s">
        <v>159</v>
      </c>
      <c r="G228" t="s">
        <v>160</v>
      </c>
      <c r="J228">
        <v>2000</v>
      </c>
      <c r="L228">
        <v>226</v>
      </c>
      <c r="M228" t="s">
        <v>1141</v>
      </c>
      <c r="N228" t="s">
        <v>1128</v>
      </c>
    </row>
    <row r="229" spans="1:14">
      <c r="A229" t="s">
        <v>1142</v>
      </c>
      <c r="B229" t="s">
        <v>1143</v>
      </c>
      <c r="C229">
        <v>3078</v>
      </c>
      <c r="D229" t="s">
        <v>1144</v>
      </c>
      <c r="E229" t="s">
        <v>159</v>
      </c>
      <c r="H229" t="s">
        <v>160</v>
      </c>
      <c r="J229">
        <v>2000</v>
      </c>
      <c r="L229">
        <v>227</v>
      </c>
      <c r="M229" t="s">
        <v>1145</v>
      </c>
      <c r="N229" t="s">
        <v>1137</v>
      </c>
    </row>
    <row r="230" spans="1:14">
      <c r="A230" t="s">
        <v>1146</v>
      </c>
      <c r="B230" t="s">
        <v>281</v>
      </c>
      <c r="C230" t="s">
        <v>1147</v>
      </c>
      <c r="D230" t="s">
        <v>1148</v>
      </c>
      <c r="E230" t="s">
        <v>159</v>
      </c>
      <c r="G230" t="s">
        <v>160</v>
      </c>
      <c r="J230">
        <v>100</v>
      </c>
      <c r="L230">
        <v>228</v>
      </c>
      <c r="M230" t="s">
        <v>266</v>
      </c>
      <c r="N230" t="s">
        <v>1149</v>
      </c>
    </row>
    <row r="231" spans="1:14">
      <c r="A231" t="s">
        <v>1150</v>
      </c>
      <c r="B231" t="s">
        <v>734</v>
      </c>
      <c r="C231" t="s">
        <v>1151</v>
      </c>
      <c r="D231" t="s">
        <v>1152</v>
      </c>
      <c r="E231" t="s">
        <v>159</v>
      </c>
      <c r="G231" t="s">
        <v>160</v>
      </c>
      <c r="J231">
        <v>100</v>
      </c>
      <c r="L231">
        <v>229</v>
      </c>
      <c r="M231" t="s">
        <v>1153</v>
      </c>
      <c r="N231" t="s">
        <v>1154</v>
      </c>
    </row>
    <row r="232" spans="1:14">
      <c r="A232" t="s">
        <v>1155</v>
      </c>
      <c r="C232" t="s">
        <v>1156</v>
      </c>
      <c r="D232" t="s">
        <v>1156</v>
      </c>
      <c r="E232" t="s">
        <v>159</v>
      </c>
      <c r="F232" t="s">
        <v>159</v>
      </c>
      <c r="G232" t="s">
        <v>1157</v>
      </c>
      <c r="H232" t="s">
        <v>1158</v>
      </c>
      <c r="J232" t="s">
        <v>1159</v>
      </c>
      <c r="L232">
        <v>230</v>
      </c>
      <c r="M232" t="s">
        <v>1160</v>
      </c>
      <c r="N232" t="s">
        <v>1161</v>
      </c>
    </row>
    <row r="233" spans="1:14">
      <c r="A233" t="s">
        <v>1162</v>
      </c>
      <c r="C233" t="s">
        <v>1163</v>
      </c>
      <c r="D233" t="s">
        <v>1163</v>
      </c>
      <c r="E233" t="s">
        <v>159</v>
      </c>
      <c r="G233" t="s">
        <v>1157</v>
      </c>
      <c r="H233" t="s">
        <v>1158</v>
      </c>
      <c r="J233" t="s">
        <v>1164</v>
      </c>
      <c r="L233">
        <v>231</v>
      </c>
      <c r="M233" t="s">
        <v>1165</v>
      </c>
      <c r="N233" t="s">
        <v>1154</v>
      </c>
    </row>
    <row r="234" spans="1:14">
      <c r="A234" t="s">
        <v>1166</v>
      </c>
      <c r="C234" t="s">
        <v>1167</v>
      </c>
      <c r="D234" t="s">
        <v>1167</v>
      </c>
      <c r="E234" t="s">
        <v>159</v>
      </c>
      <c r="G234" t="s">
        <v>1157</v>
      </c>
      <c r="H234" t="s">
        <v>1158</v>
      </c>
      <c r="J234" t="s">
        <v>1168</v>
      </c>
      <c r="L234">
        <v>232</v>
      </c>
      <c r="M234" t="s">
        <v>1169</v>
      </c>
      <c r="N234" t="s">
        <v>1161</v>
      </c>
    </row>
    <row r="235" spans="1:14">
      <c r="A235" t="s">
        <v>1170</v>
      </c>
      <c r="C235" t="s">
        <v>1171</v>
      </c>
      <c r="D235" t="s">
        <v>1171</v>
      </c>
      <c r="E235" t="s">
        <v>159</v>
      </c>
      <c r="G235" t="s">
        <v>1157</v>
      </c>
      <c r="H235" t="s">
        <v>1158</v>
      </c>
      <c r="J235" t="s">
        <v>1172</v>
      </c>
      <c r="L235">
        <v>233</v>
      </c>
      <c r="M235" t="s">
        <v>271</v>
      </c>
      <c r="N235" t="s">
        <v>1173</v>
      </c>
    </row>
    <row r="236" spans="1:14">
      <c r="A236" t="s">
        <v>1174</v>
      </c>
      <c r="C236" t="s">
        <v>1175</v>
      </c>
      <c r="D236" t="s">
        <v>1175</v>
      </c>
      <c r="E236" t="s">
        <v>159</v>
      </c>
      <c r="G236" t="s">
        <v>1157</v>
      </c>
      <c r="H236" t="s">
        <v>1158</v>
      </c>
      <c r="J236" t="s">
        <v>1164</v>
      </c>
      <c r="L236">
        <v>234</v>
      </c>
      <c r="M236" t="s">
        <v>1176</v>
      </c>
      <c r="N236" t="s">
        <v>1177</v>
      </c>
    </row>
    <row r="237" spans="1:14">
      <c r="A237" t="s">
        <v>1178</v>
      </c>
      <c r="C237" t="s">
        <v>1179</v>
      </c>
      <c r="D237" t="s">
        <v>1179</v>
      </c>
      <c r="E237" t="s">
        <v>159</v>
      </c>
      <c r="G237" t="s">
        <v>1157</v>
      </c>
      <c r="J237" t="s">
        <v>1180</v>
      </c>
      <c r="L237">
        <v>235</v>
      </c>
      <c r="M237" t="s">
        <v>1181</v>
      </c>
      <c r="N237" t="s">
        <v>1182</v>
      </c>
    </row>
    <row r="238" spans="1:14">
      <c r="A238" t="s">
        <v>1183</v>
      </c>
      <c r="C238" t="s">
        <v>1184</v>
      </c>
      <c r="D238" t="s">
        <v>1184</v>
      </c>
      <c r="E238" t="s">
        <v>159</v>
      </c>
      <c r="G238" t="s">
        <v>1157</v>
      </c>
      <c r="J238" t="s">
        <v>1185</v>
      </c>
      <c r="L238">
        <v>236</v>
      </c>
      <c r="M238" t="s">
        <v>1186</v>
      </c>
      <c r="N238" t="s">
        <v>1177</v>
      </c>
    </row>
    <row r="239" spans="1:14">
      <c r="A239" t="s">
        <v>1187</v>
      </c>
      <c r="C239" t="s">
        <v>1188</v>
      </c>
      <c r="D239" t="s">
        <v>1188</v>
      </c>
      <c r="E239" t="s">
        <v>159</v>
      </c>
      <c r="G239" t="s">
        <v>1157</v>
      </c>
      <c r="J239" t="s">
        <v>1168</v>
      </c>
      <c r="L239">
        <v>237</v>
      </c>
      <c r="M239" t="s">
        <v>1189</v>
      </c>
      <c r="N239" t="s">
        <v>1182</v>
      </c>
    </row>
    <row r="240" spans="1:14">
      <c r="A240" t="s">
        <v>1190</v>
      </c>
      <c r="C240" t="s">
        <v>1191</v>
      </c>
      <c r="D240" t="s">
        <v>1191</v>
      </c>
      <c r="E240" t="s">
        <v>159</v>
      </c>
      <c r="G240" t="s">
        <v>1157</v>
      </c>
      <c r="J240" t="s">
        <v>1164</v>
      </c>
      <c r="L240">
        <v>238</v>
      </c>
      <c r="M240" t="s">
        <v>275</v>
      </c>
      <c r="N240" t="s">
        <v>1192</v>
      </c>
    </row>
    <row r="241" spans="1:14">
      <c r="A241" t="s">
        <v>1193</v>
      </c>
      <c r="C241" t="s">
        <v>1194</v>
      </c>
      <c r="D241" t="s">
        <v>1194</v>
      </c>
      <c r="E241" t="s">
        <v>159</v>
      </c>
      <c r="G241" t="s">
        <v>1157</v>
      </c>
      <c r="J241" t="s">
        <v>1180</v>
      </c>
      <c r="L241">
        <v>239</v>
      </c>
      <c r="M241" t="s">
        <v>1195</v>
      </c>
      <c r="N241" t="s">
        <v>1196</v>
      </c>
    </row>
    <row r="242" spans="1:14">
      <c r="A242" t="s">
        <v>1197</v>
      </c>
      <c r="C242" t="s">
        <v>1198</v>
      </c>
      <c r="D242" t="s">
        <v>1198</v>
      </c>
      <c r="E242" t="s">
        <v>159</v>
      </c>
      <c r="G242" t="s">
        <v>1157</v>
      </c>
      <c r="H242" t="s">
        <v>1158</v>
      </c>
      <c r="J242" t="s">
        <v>1164</v>
      </c>
      <c r="L242">
        <v>240</v>
      </c>
      <c r="M242" t="s">
        <v>1199</v>
      </c>
      <c r="N242" t="s">
        <v>1200</v>
      </c>
    </row>
    <row r="243" spans="1:14">
      <c r="A243" t="s">
        <v>1201</v>
      </c>
      <c r="C243" t="s">
        <v>1202</v>
      </c>
      <c r="D243" t="s">
        <v>1202</v>
      </c>
      <c r="E243" t="s">
        <v>159</v>
      </c>
      <c r="G243" t="s">
        <v>1157</v>
      </c>
      <c r="H243" t="s">
        <v>1158</v>
      </c>
      <c r="J243" t="s">
        <v>1159</v>
      </c>
      <c r="L243">
        <v>241</v>
      </c>
      <c r="M243" t="s">
        <v>1203</v>
      </c>
      <c r="N243" t="s">
        <v>1196</v>
      </c>
    </row>
    <row r="244" spans="1:14">
      <c r="A244" t="s">
        <v>1204</v>
      </c>
      <c r="C244" t="s">
        <v>1205</v>
      </c>
      <c r="D244" t="s">
        <v>1205</v>
      </c>
      <c r="E244" t="s">
        <v>159</v>
      </c>
      <c r="G244" t="s">
        <v>1157</v>
      </c>
      <c r="H244" t="s">
        <v>1158</v>
      </c>
      <c r="J244" t="s">
        <v>1206</v>
      </c>
      <c r="L244">
        <v>242</v>
      </c>
      <c r="M244" t="s">
        <v>1207</v>
      </c>
      <c r="N244" t="s">
        <v>1200</v>
      </c>
    </row>
    <row r="245" spans="1:14">
      <c r="A245" t="s">
        <v>1208</v>
      </c>
      <c r="C245" t="s">
        <v>1209</v>
      </c>
      <c r="D245" t="s">
        <v>1209</v>
      </c>
      <c r="E245" t="s">
        <v>159</v>
      </c>
      <c r="G245" t="s">
        <v>1157</v>
      </c>
      <c r="H245" t="s">
        <v>1158</v>
      </c>
      <c r="J245" t="s">
        <v>1159</v>
      </c>
      <c r="L245">
        <v>243</v>
      </c>
      <c r="M245" t="s">
        <v>280</v>
      </c>
      <c r="N245" t="s">
        <v>1210</v>
      </c>
    </row>
    <row r="246" spans="1:14">
      <c r="A246" t="s">
        <v>1211</v>
      </c>
      <c r="C246" t="s">
        <v>1212</v>
      </c>
      <c r="D246" t="s">
        <v>1212</v>
      </c>
      <c r="E246" t="s">
        <v>159</v>
      </c>
      <c r="G246" t="s">
        <v>1157</v>
      </c>
      <c r="H246" s="219" t="s">
        <v>1213</v>
      </c>
      <c r="I246" s="219"/>
      <c r="J246" t="s">
        <v>1214</v>
      </c>
      <c r="L246">
        <v>244</v>
      </c>
      <c r="M246" t="s">
        <v>1215</v>
      </c>
      <c r="N246" t="s">
        <v>1216</v>
      </c>
    </row>
    <row r="247" spans="1:14">
      <c r="A247" t="s">
        <v>1162</v>
      </c>
      <c r="C247" t="s">
        <v>1217</v>
      </c>
      <c r="D247" t="s">
        <v>1217</v>
      </c>
      <c r="E247" t="s">
        <v>159</v>
      </c>
      <c r="G247" t="s">
        <v>1157</v>
      </c>
      <c r="H247" t="s">
        <v>1158</v>
      </c>
      <c r="J247" t="s">
        <v>1164</v>
      </c>
      <c r="L247">
        <v>245</v>
      </c>
      <c r="M247" t="s">
        <v>1218</v>
      </c>
      <c r="N247" t="s">
        <v>1219</v>
      </c>
    </row>
    <row r="248" spans="1:14">
      <c r="A248" t="s">
        <v>1170</v>
      </c>
      <c r="C248" t="s">
        <v>1220</v>
      </c>
      <c r="D248" t="s">
        <v>1220</v>
      </c>
      <c r="E248" t="s">
        <v>159</v>
      </c>
      <c r="G248" t="s">
        <v>1157</v>
      </c>
      <c r="H248" t="s">
        <v>1158</v>
      </c>
      <c r="J248" t="s">
        <v>1172</v>
      </c>
      <c r="L248">
        <v>246</v>
      </c>
      <c r="M248" t="s">
        <v>1221</v>
      </c>
      <c r="N248" t="s">
        <v>1216</v>
      </c>
    </row>
    <row r="249" spans="1:14">
      <c r="A249" t="s">
        <v>1183</v>
      </c>
      <c r="C249" t="s">
        <v>1222</v>
      </c>
      <c r="D249" t="s">
        <v>1222</v>
      </c>
      <c r="E249" t="s">
        <v>159</v>
      </c>
      <c r="G249" t="s">
        <v>1157</v>
      </c>
      <c r="J249" t="s">
        <v>1185</v>
      </c>
      <c r="L249">
        <v>247</v>
      </c>
      <c r="M249" t="s">
        <v>1223</v>
      </c>
      <c r="N249" t="s">
        <v>1219</v>
      </c>
    </row>
    <row r="250" spans="1:14">
      <c r="C250">
        <v>1434</v>
      </c>
      <c r="D250" t="s">
        <v>1224</v>
      </c>
      <c r="L250">
        <v>248</v>
      </c>
      <c r="M250" t="s">
        <v>284</v>
      </c>
      <c r="N250" t="s">
        <v>1225</v>
      </c>
    </row>
    <row r="251" spans="1:14">
      <c r="C251">
        <v>1227</v>
      </c>
      <c r="D251" t="s">
        <v>1226</v>
      </c>
      <c r="L251">
        <v>249</v>
      </c>
      <c r="M251" t="s">
        <v>1227</v>
      </c>
      <c r="N251" t="s">
        <v>1228</v>
      </c>
    </row>
    <row r="252" spans="1:14">
      <c r="C252">
        <v>1434</v>
      </c>
      <c r="D252" t="s">
        <v>1224</v>
      </c>
      <c r="L252">
        <v>250</v>
      </c>
      <c r="M252" t="s">
        <v>1229</v>
      </c>
      <c r="N252" t="s">
        <v>1230</v>
      </c>
    </row>
    <row r="253" spans="1:14">
      <c r="B253" t="s">
        <v>1231</v>
      </c>
      <c r="C253">
        <v>3661</v>
      </c>
      <c r="D253" t="s">
        <v>1231</v>
      </c>
      <c r="L253">
        <v>251</v>
      </c>
      <c r="M253" t="s">
        <v>1232</v>
      </c>
      <c r="N253" t="s">
        <v>1228</v>
      </c>
    </row>
    <row r="254" spans="1:14">
      <c r="A254" t="s">
        <v>2697</v>
      </c>
      <c r="C254">
        <v>2340</v>
      </c>
      <c r="D254" t="s">
        <v>2696</v>
      </c>
      <c r="E254" t="s">
        <v>159</v>
      </c>
      <c r="G254" t="s">
        <v>160</v>
      </c>
      <c r="J254">
        <v>2000</v>
      </c>
      <c r="L254">
        <v>252</v>
      </c>
      <c r="M254" t="s">
        <v>1233</v>
      </c>
      <c r="N254" t="s">
        <v>1230</v>
      </c>
    </row>
    <row r="255" spans="1:14">
      <c r="L255">
        <v>253</v>
      </c>
      <c r="M255" t="s">
        <v>289</v>
      </c>
      <c r="N255" t="s">
        <v>1234</v>
      </c>
    </row>
    <row r="256" spans="1:14">
      <c r="L256">
        <v>254</v>
      </c>
      <c r="M256" t="s">
        <v>1235</v>
      </c>
      <c r="N256" t="s">
        <v>1236</v>
      </c>
    </row>
    <row r="257" spans="12:14">
      <c r="L257">
        <v>255</v>
      </c>
      <c r="M257" t="s">
        <v>1237</v>
      </c>
      <c r="N257" t="s">
        <v>1236</v>
      </c>
    </row>
    <row r="258" spans="12:14">
      <c r="L258">
        <v>256</v>
      </c>
      <c r="M258" t="s">
        <v>1238</v>
      </c>
      <c r="N258" t="s">
        <v>1239</v>
      </c>
    </row>
    <row r="259" spans="12:14">
      <c r="L259">
        <v>257</v>
      </c>
      <c r="M259" t="s">
        <v>1240</v>
      </c>
      <c r="N259" t="s">
        <v>1236</v>
      </c>
    </row>
    <row r="260" spans="12:14">
      <c r="L260">
        <v>258</v>
      </c>
      <c r="M260" t="s">
        <v>1241</v>
      </c>
      <c r="N260" t="s">
        <v>1239</v>
      </c>
    </row>
    <row r="261" spans="12:14">
      <c r="L261">
        <v>259</v>
      </c>
      <c r="M261" t="s">
        <v>1242</v>
      </c>
      <c r="N261" t="s">
        <v>1243</v>
      </c>
    </row>
    <row r="262" spans="12:14">
      <c r="L262">
        <v>260</v>
      </c>
      <c r="M262" t="s">
        <v>1244</v>
      </c>
      <c r="N262" t="s">
        <v>1245</v>
      </c>
    </row>
    <row r="263" spans="12:14" ht="16.5" customHeight="1">
      <c r="L263">
        <v>261</v>
      </c>
      <c r="M263" t="s">
        <v>1246</v>
      </c>
      <c r="N263" t="s">
        <v>1243</v>
      </c>
    </row>
    <row r="264" spans="12:14">
      <c r="L264">
        <v>262</v>
      </c>
      <c r="M264" t="s">
        <v>1247</v>
      </c>
      <c r="N264" t="s">
        <v>1245</v>
      </c>
    </row>
    <row r="265" spans="12:14">
      <c r="L265">
        <v>263</v>
      </c>
      <c r="M265" t="s">
        <v>293</v>
      </c>
      <c r="N265" t="s">
        <v>1248</v>
      </c>
    </row>
    <row r="266" spans="12:14">
      <c r="L266">
        <v>264</v>
      </c>
      <c r="M266" t="s">
        <v>1249</v>
      </c>
      <c r="N266" t="s">
        <v>1250</v>
      </c>
    </row>
    <row r="267" spans="12:14">
      <c r="L267">
        <v>265</v>
      </c>
      <c r="M267" t="s">
        <v>1251</v>
      </c>
      <c r="N267" t="s">
        <v>1250</v>
      </c>
    </row>
    <row r="268" spans="12:14">
      <c r="L268">
        <v>266</v>
      </c>
      <c r="M268" t="s">
        <v>1252</v>
      </c>
      <c r="N268" t="s">
        <v>1253</v>
      </c>
    </row>
    <row r="269" spans="12:14">
      <c r="L269">
        <v>267</v>
      </c>
      <c r="M269" t="s">
        <v>1254</v>
      </c>
      <c r="N269" t="s">
        <v>1253</v>
      </c>
    </row>
    <row r="270" spans="12:14">
      <c r="L270">
        <v>268</v>
      </c>
      <c r="M270" t="s">
        <v>1255</v>
      </c>
      <c r="N270" t="s">
        <v>1250</v>
      </c>
    </row>
    <row r="271" spans="12:14">
      <c r="L271">
        <v>269</v>
      </c>
      <c r="M271" t="s">
        <v>1256</v>
      </c>
      <c r="N271" t="s">
        <v>1253</v>
      </c>
    </row>
    <row r="272" spans="12:14">
      <c r="L272">
        <v>270</v>
      </c>
      <c r="M272" t="s">
        <v>298</v>
      </c>
      <c r="N272" t="s">
        <v>1257</v>
      </c>
    </row>
    <row r="273" spans="12:14">
      <c r="L273">
        <v>271</v>
      </c>
      <c r="M273" t="s">
        <v>1258</v>
      </c>
      <c r="N273" t="s">
        <v>1259</v>
      </c>
    </row>
    <row r="274" spans="12:14">
      <c r="L274">
        <v>272</v>
      </c>
      <c r="M274" t="s">
        <v>1260</v>
      </c>
      <c r="N274" t="s">
        <v>1259</v>
      </c>
    </row>
    <row r="275" spans="12:14">
      <c r="L275">
        <v>273</v>
      </c>
      <c r="M275" t="s">
        <v>1261</v>
      </c>
      <c r="N275" t="s">
        <v>1262</v>
      </c>
    </row>
    <row r="276" spans="12:14">
      <c r="L276">
        <v>274</v>
      </c>
      <c r="M276" t="s">
        <v>1263</v>
      </c>
      <c r="N276" t="s">
        <v>1262</v>
      </c>
    </row>
    <row r="277" spans="12:14">
      <c r="L277">
        <v>275</v>
      </c>
      <c r="M277" t="s">
        <v>1264</v>
      </c>
      <c r="N277" t="s">
        <v>1259</v>
      </c>
    </row>
    <row r="278" spans="12:14">
      <c r="L278">
        <v>276</v>
      </c>
      <c r="M278" t="s">
        <v>1265</v>
      </c>
      <c r="N278" t="s">
        <v>1262</v>
      </c>
    </row>
    <row r="279" spans="12:14">
      <c r="L279">
        <v>277</v>
      </c>
      <c r="M279" t="s">
        <v>302</v>
      </c>
      <c r="N279" t="s">
        <v>1266</v>
      </c>
    </row>
    <row r="280" spans="12:14">
      <c r="L280">
        <v>278</v>
      </c>
      <c r="M280" t="s">
        <v>1267</v>
      </c>
      <c r="N280" t="s">
        <v>1268</v>
      </c>
    </row>
    <row r="281" spans="12:14">
      <c r="L281">
        <v>279</v>
      </c>
      <c r="M281" t="s">
        <v>1269</v>
      </c>
      <c r="N281" t="s">
        <v>1270</v>
      </c>
    </row>
    <row r="282" spans="12:14">
      <c r="L282">
        <v>280</v>
      </c>
      <c r="M282" t="s">
        <v>1271</v>
      </c>
      <c r="N282" t="s">
        <v>1268</v>
      </c>
    </row>
    <row r="283" spans="12:14">
      <c r="L283">
        <v>281</v>
      </c>
      <c r="M283" t="s">
        <v>1272</v>
      </c>
      <c r="N283" t="s">
        <v>1270</v>
      </c>
    </row>
    <row r="284" spans="12:14">
      <c r="L284">
        <v>282</v>
      </c>
      <c r="M284" t="s">
        <v>306</v>
      </c>
      <c r="N284" t="s">
        <v>1273</v>
      </c>
    </row>
    <row r="285" spans="12:14">
      <c r="L285">
        <v>283</v>
      </c>
      <c r="M285" t="s">
        <v>1274</v>
      </c>
      <c r="N285" t="s">
        <v>1275</v>
      </c>
    </row>
    <row r="286" spans="12:14">
      <c r="L286">
        <v>284</v>
      </c>
      <c r="M286" t="s">
        <v>1276</v>
      </c>
      <c r="N286" t="s">
        <v>1277</v>
      </c>
    </row>
    <row r="287" spans="12:14">
      <c r="L287">
        <v>285</v>
      </c>
      <c r="M287" t="s">
        <v>1278</v>
      </c>
      <c r="N287" t="s">
        <v>1275</v>
      </c>
    </row>
    <row r="288" spans="12:14">
      <c r="L288">
        <v>286</v>
      </c>
      <c r="M288" t="s">
        <v>1279</v>
      </c>
      <c r="N288" t="s">
        <v>1277</v>
      </c>
    </row>
    <row r="289" spans="12:14">
      <c r="L289">
        <v>287</v>
      </c>
      <c r="M289" t="s">
        <v>1280</v>
      </c>
      <c r="N289" t="s">
        <v>1281</v>
      </c>
    </row>
    <row r="290" spans="12:14">
      <c r="L290">
        <v>288</v>
      </c>
      <c r="M290" t="s">
        <v>1282</v>
      </c>
      <c r="N290" t="s">
        <v>1283</v>
      </c>
    </row>
    <row r="291" spans="12:14">
      <c r="L291">
        <v>289</v>
      </c>
      <c r="M291" t="s">
        <v>1284</v>
      </c>
      <c r="N291" t="s">
        <v>1281</v>
      </c>
    </row>
    <row r="292" spans="12:14">
      <c r="L292">
        <v>290</v>
      </c>
      <c r="M292" t="s">
        <v>1285</v>
      </c>
      <c r="N292" t="s">
        <v>1283</v>
      </c>
    </row>
    <row r="293" spans="12:14">
      <c r="L293">
        <v>291</v>
      </c>
      <c r="M293" t="s">
        <v>311</v>
      </c>
      <c r="N293" t="s">
        <v>1286</v>
      </c>
    </row>
    <row r="294" spans="12:14">
      <c r="L294">
        <v>292</v>
      </c>
      <c r="M294" t="s">
        <v>1287</v>
      </c>
      <c r="N294" t="s">
        <v>1288</v>
      </c>
    </row>
    <row r="295" spans="12:14">
      <c r="L295">
        <v>293</v>
      </c>
      <c r="M295" t="s">
        <v>1289</v>
      </c>
      <c r="N295" t="s">
        <v>1290</v>
      </c>
    </row>
    <row r="296" spans="12:14">
      <c r="L296">
        <v>294</v>
      </c>
      <c r="M296" t="s">
        <v>1291</v>
      </c>
      <c r="N296" t="s">
        <v>1288</v>
      </c>
    </row>
    <row r="297" spans="12:14">
      <c r="L297">
        <v>295</v>
      </c>
      <c r="M297" t="s">
        <v>1292</v>
      </c>
      <c r="N297" t="s">
        <v>1290</v>
      </c>
    </row>
    <row r="298" spans="12:14">
      <c r="L298">
        <v>296</v>
      </c>
      <c r="M298" t="s">
        <v>1293</v>
      </c>
      <c r="N298" t="s">
        <v>1294</v>
      </c>
    </row>
    <row r="299" spans="12:14">
      <c r="L299">
        <v>297</v>
      </c>
      <c r="M299" t="s">
        <v>1295</v>
      </c>
      <c r="N299" t="s">
        <v>1296</v>
      </c>
    </row>
    <row r="300" spans="12:14">
      <c r="L300">
        <v>298</v>
      </c>
      <c r="M300" t="s">
        <v>1297</v>
      </c>
      <c r="N300" t="s">
        <v>1294</v>
      </c>
    </row>
    <row r="301" spans="12:14">
      <c r="L301">
        <v>299</v>
      </c>
      <c r="M301" t="s">
        <v>1298</v>
      </c>
      <c r="N301" t="s">
        <v>1296</v>
      </c>
    </row>
    <row r="302" spans="12:14">
      <c r="L302">
        <v>300</v>
      </c>
      <c r="M302" t="s">
        <v>1299</v>
      </c>
      <c r="N302" t="s">
        <v>1300</v>
      </c>
    </row>
    <row r="303" spans="12:14">
      <c r="L303">
        <v>301</v>
      </c>
      <c r="M303" t="s">
        <v>1301</v>
      </c>
      <c r="N303" t="s">
        <v>1302</v>
      </c>
    </row>
    <row r="304" spans="12:14">
      <c r="L304">
        <v>302</v>
      </c>
      <c r="M304" t="s">
        <v>1303</v>
      </c>
      <c r="N304" t="s">
        <v>1300</v>
      </c>
    </row>
    <row r="305" spans="12:14">
      <c r="L305">
        <v>303</v>
      </c>
      <c r="M305" t="s">
        <v>1304</v>
      </c>
      <c r="N305" t="s">
        <v>1302</v>
      </c>
    </row>
    <row r="306" spans="12:14">
      <c r="L306">
        <v>304</v>
      </c>
      <c r="M306" t="s">
        <v>136</v>
      </c>
      <c r="N306" t="s">
        <v>1305</v>
      </c>
    </row>
    <row r="307" spans="12:14">
      <c r="L307">
        <v>305</v>
      </c>
      <c r="M307" t="s">
        <v>1306</v>
      </c>
      <c r="N307" t="s">
        <v>1307</v>
      </c>
    </row>
    <row r="308" spans="12:14">
      <c r="L308">
        <v>306</v>
      </c>
      <c r="M308" t="s">
        <v>1308</v>
      </c>
      <c r="N308" t="s">
        <v>1309</v>
      </c>
    </row>
    <row r="309" spans="12:14">
      <c r="L309">
        <v>307</v>
      </c>
      <c r="M309" t="s">
        <v>1310</v>
      </c>
      <c r="N309" t="s">
        <v>1307</v>
      </c>
    </row>
    <row r="310" spans="12:14">
      <c r="L310">
        <v>308</v>
      </c>
      <c r="M310" t="s">
        <v>1311</v>
      </c>
      <c r="N310" t="s">
        <v>1309</v>
      </c>
    </row>
    <row r="311" spans="12:14">
      <c r="L311">
        <v>309</v>
      </c>
      <c r="M311" t="s">
        <v>319</v>
      </c>
      <c r="N311" t="s">
        <v>1312</v>
      </c>
    </row>
    <row r="312" spans="12:14">
      <c r="L312">
        <v>310</v>
      </c>
      <c r="M312" t="s">
        <v>1313</v>
      </c>
      <c r="N312" t="s">
        <v>1314</v>
      </c>
    </row>
    <row r="313" spans="12:14">
      <c r="L313">
        <v>311</v>
      </c>
      <c r="M313" t="s">
        <v>1315</v>
      </c>
      <c r="N313" t="s">
        <v>1316</v>
      </c>
    </row>
    <row r="314" spans="12:14">
      <c r="L314">
        <v>312</v>
      </c>
      <c r="M314" t="s">
        <v>1317</v>
      </c>
      <c r="N314" t="s">
        <v>1314</v>
      </c>
    </row>
    <row r="315" spans="12:14">
      <c r="L315">
        <v>313</v>
      </c>
      <c r="M315" t="s">
        <v>1318</v>
      </c>
      <c r="N315" t="s">
        <v>1316</v>
      </c>
    </row>
    <row r="316" spans="12:14">
      <c r="L316">
        <v>314</v>
      </c>
      <c r="M316" t="s">
        <v>323</v>
      </c>
      <c r="N316" t="s">
        <v>1319</v>
      </c>
    </row>
    <row r="317" spans="12:14">
      <c r="L317">
        <v>315</v>
      </c>
      <c r="M317" t="s">
        <v>1320</v>
      </c>
      <c r="N317" t="s">
        <v>1321</v>
      </c>
    </row>
    <row r="318" spans="12:14">
      <c r="L318">
        <v>316</v>
      </c>
      <c r="M318" t="s">
        <v>1322</v>
      </c>
      <c r="N318" t="s">
        <v>1323</v>
      </c>
    </row>
    <row r="319" spans="12:14">
      <c r="L319">
        <v>317</v>
      </c>
      <c r="M319" t="s">
        <v>1324</v>
      </c>
      <c r="N319" t="s">
        <v>1321</v>
      </c>
    </row>
    <row r="320" spans="12:14">
      <c r="L320">
        <v>318</v>
      </c>
      <c r="M320" t="s">
        <v>1325</v>
      </c>
      <c r="N320" t="s">
        <v>1323</v>
      </c>
    </row>
    <row r="321" spans="12:14">
      <c r="L321">
        <v>319</v>
      </c>
      <c r="M321" t="s">
        <v>328</v>
      </c>
      <c r="N321" t="s">
        <v>1326</v>
      </c>
    </row>
    <row r="322" spans="12:14">
      <c r="L322">
        <v>320</v>
      </c>
      <c r="M322" t="s">
        <v>1327</v>
      </c>
      <c r="N322" t="s">
        <v>1328</v>
      </c>
    </row>
    <row r="323" spans="12:14">
      <c r="L323">
        <v>321</v>
      </c>
      <c r="M323" t="s">
        <v>1329</v>
      </c>
      <c r="N323" t="s">
        <v>1328</v>
      </c>
    </row>
    <row r="324" spans="12:14">
      <c r="L324">
        <v>322</v>
      </c>
      <c r="M324" t="s">
        <v>332</v>
      </c>
      <c r="N324" t="s">
        <v>1330</v>
      </c>
    </row>
    <row r="325" spans="12:14">
      <c r="L325">
        <v>323</v>
      </c>
      <c r="M325" t="s">
        <v>1331</v>
      </c>
      <c r="N325" t="s">
        <v>1332</v>
      </c>
    </row>
    <row r="326" spans="12:14">
      <c r="L326">
        <v>324</v>
      </c>
      <c r="M326" t="s">
        <v>1333</v>
      </c>
      <c r="N326" t="s">
        <v>1332</v>
      </c>
    </row>
    <row r="327" spans="12:14">
      <c r="L327">
        <v>325</v>
      </c>
      <c r="M327" t="s">
        <v>1334</v>
      </c>
      <c r="N327" t="s">
        <v>1335</v>
      </c>
    </row>
    <row r="328" spans="12:14">
      <c r="L328">
        <v>326</v>
      </c>
      <c r="M328" t="s">
        <v>1336</v>
      </c>
      <c r="N328" t="s">
        <v>1337</v>
      </c>
    </row>
    <row r="329" spans="12:14">
      <c r="L329">
        <v>327</v>
      </c>
      <c r="M329" t="s">
        <v>1338</v>
      </c>
      <c r="N329" t="s">
        <v>1337</v>
      </c>
    </row>
    <row r="330" spans="12:14">
      <c r="L330">
        <v>328</v>
      </c>
      <c r="M330" t="s">
        <v>1339</v>
      </c>
      <c r="N330" t="s">
        <v>1340</v>
      </c>
    </row>
    <row r="331" spans="12:14">
      <c r="L331">
        <v>329</v>
      </c>
      <c r="M331" t="s">
        <v>1341</v>
      </c>
      <c r="N331" t="s">
        <v>1340</v>
      </c>
    </row>
    <row r="332" spans="12:14">
      <c r="L332">
        <v>330</v>
      </c>
      <c r="M332" t="s">
        <v>1342</v>
      </c>
      <c r="N332" t="s">
        <v>1343</v>
      </c>
    </row>
    <row r="333" spans="12:14">
      <c r="L333">
        <v>331</v>
      </c>
      <c r="M333" t="s">
        <v>1344</v>
      </c>
      <c r="N333" t="s">
        <v>1343</v>
      </c>
    </row>
    <row r="334" spans="12:14">
      <c r="L334">
        <v>332</v>
      </c>
      <c r="M334" t="s">
        <v>1345</v>
      </c>
      <c r="N334" t="s">
        <v>1346</v>
      </c>
    </row>
    <row r="335" spans="12:14">
      <c r="L335">
        <v>333</v>
      </c>
      <c r="M335" t="s">
        <v>1347</v>
      </c>
      <c r="N335" t="s">
        <v>1346</v>
      </c>
    </row>
    <row r="336" spans="12:14">
      <c r="L336">
        <v>334</v>
      </c>
      <c r="M336" t="s">
        <v>337</v>
      </c>
      <c r="N336" t="s">
        <v>1348</v>
      </c>
    </row>
    <row r="337" spans="12:14">
      <c r="L337">
        <v>335</v>
      </c>
      <c r="M337" t="s">
        <v>1349</v>
      </c>
      <c r="N337" t="s">
        <v>1350</v>
      </c>
    </row>
    <row r="338" spans="12:14">
      <c r="L338">
        <v>336</v>
      </c>
      <c r="M338" t="s">
        <v>1351</v>
      </c>
      <c r="N338" t="s">
        <v>1350</v>
      </c>
    </row>
    <row r="339" spans="12:14">
      <c r="L339">
        <v>337</v>
      </c>
      <c r="M339" t="s">
        <v>1352</v>
      </c>
      <c r="N339" t="s">
        <v>1353</v>
      </c>
    </row>
    <row r="340" spans="12:14">
      <c r="L340">
        <v>338</v>
      </c>
      <c r="M340" t="s">
        <v>1354</v>
      </c>
      <c r="N340" t="s">
        <v>1353</v>
      </c>
    </row>
    <row r="341" spans="12:14">
      <c r="L341">
        <v>339</v>
      </c>
      <c r="M341" t="s">
        <v>341</v>
      </c>
      <c r="N341" t="s">
        <v>1355</v>
      </c>
    </row>
    <row r="342" spans="12:14">
      <c r="L342">
        <v>340</v>
      </c>
      <c r="M342" t="s">
        <v>1356</v>
      </c>
      <c r="N342" t="s">
        <v>1357</v>
      </c>
    </row>
    <row r="343" spans="12:14">
      <c r="L343">
        <v>341</v>
      </c>
      <c r="M343" t="s">
        <v>1358</v>
      </c>
      <c r="N343" t="s">
        <v>1357</v>
      </c>
    </row>
    <row r="344" spans="12:14">
      <c r="L344">
        <v>342</v>
      </c>
      <c r="M344" t="s">
        <v>346</v>
      </c>
      <c r="N344" t="s">
        <v>1359</v>
      </c>
    </row>
    <row r="345" spans="12:14">
      <c r="L345">
        <v>343</v>
      </c>
      <c r="M345" t="s">
        <v>1360</v>
      </c>
      <c r="N345" t="s">
        <v>1361</v>
      </c>
    </row>
    <row r="346" spans="12:14">
      <c r="L346">
        <v>344</v>
      </c>
      <c r="M346" t="s">
        <v>1362</v>
      </c>
      <c r="N346" t="s">
        <v>1361</v>
      </c>
    </row>
    <row r="347" spans="12:14">
      <c r="L347">
        <v>345</v>
      </c>
      <c r="M347" t="s">
        <v>1363</v>
      </c>
      <c r="N347" t="s">
        <v>1364</v>
      </c>
    </row>
    <row r="348" spans="12:14">
      <c r="L348">
        <v>346</v>
      </c>
      <c r="M348" t="s">
        <v>1365</v>
      </c>
      <c r="N348" t="s">
        <v>1364</v>
      </c>
    </row>
    <row r="349" spans="12:14">
      <c r="L349">
        <v>347</v>
      </c>
      <c r="M349" t="s">
        <v>1366</v>
      </c>
      <c r="N349" t="s">
        <v>1367</v>
      </c>
    </row>
    <row r="350" spans="12:14">
      <c r="L350">
        <v>348</v>
      </c>
      <c r="M350" t="s">
        <v>1368</v>
      </c>
      <c r="N350" t="s">
        <v>1369</v>
      </c>
    </row>
    <row r="351" spans="12:14">
      <c r="L351">
        <v>349</v>
      </c>
      <c r="M351" t="s">
        <v>1370</v>
      </c>
      <c r="N351" t="s">
        <v>1371</v>
      </c>
    </row>
    <row r="352" spans="12:14">
      <c r="L352">
        <v>350</v>
      </c>
      <c r="M352" t="s">
        <v>1372</v>
      </c>
      <c r="N352" t="s">
        <v>1371</v>
      </c>
    </row>
    <row r="353" spans="12:14">
      <c r="L353">
        <v>351</v>
      </c>
      <c r="M353" t="s">
        <v>1373</v>
      </c>
      <c r="N353" t="s">
        <v>1374</v>
      </c>
    </row>
    <row r="354" spans="12:14">
      <c r="L354">
        <v>352</v>
      </c>
      <c r="M354" t="s">
        <v>1375</v>
      </c>
      <c r="N354" t="s">
        <v>1374</v>
      </c>
    </row>
    <row r="355" spans="12:14">
      <c r="L355">
        <v>353</v>
      </c>
      <c r="M355" t="s">
        <v>350</v>
      </c>
      <c r="N355" t="s">
        <v>1376</v>
      </c>
    </row>
    <row r="356" spans="12:14">
      <c r="L356">
        <v>354</v>
      </c>
      <c r="M356" t="s">
        <v>1377</v>
      </c>
      <c r="N356" t="s">
        <v>1378</v>
      </c>
    </row>
    <row r="357" spans="12:14">
      <c r="L357">
        <v>355</v>
      </c>
      <c r="M357" t="s">
        <v>1379</v>
      </c>
      <c r="N357" t="s">
        <v>1380</v>
      </c>
    </row>
    <row r="358" spans="12:14">
      <c r="L358">
        <v>356</v>
      </c>
      <c r="M358" t="s">
        <v>1381</v>
      </c>
      <c r="N358" t="s">
        <v>1382</v>
      </c>
    </row>
    <row r="359" spans="12:14">
      <c r="L359">
        <v>357</v>
      </c>
      <c r="M359" t="s">
        <v>355</v>
      </c>
      <c r="N359" t="s">
        <v>1383</v>
      </c>
    </row>
    <row r="360" spans="12:14">
      <c r="L360">
        <v>358</v>
      </c>
      <c r="M360" t="s">
        <v>1384</v>
      </c>
      <c r="N360" t="s">
        <v>1385</v>
      </c>
    </row>
    <row r="361" spans="12:14">
      <c r="L361">
        <v>359</v>
      </c>
      <c r="M361" t="s">
        <v>1386</v>
      </c>
      <c r="N361" t="s">
        <v>1385</v>
      </c>
    </row>
    <row r="362" spans="12:14">
      <c r="L362">
        <v>360</v>
      </c>
      <c r="M362" t="s">
        <v>1387</v>
      </c>
      <c r="N362" t="s">
        <v>1388</v>
      </c>
    </row>
    <row r="363" spans="12:14">
      <c r="L363">
        <v>361</v>
      </c>
      <c r="M363" t="s">
        <v>1389</v>
      </c>
      <c r="N363" t="s">
        <v>1390</v>
      </c>
    </row>
    <row r="364" spans="12:14">
      <c r="L364">
        <v>362</v>
      </c>
      <c r="M364" t="s">
        <v>1391</v>
      </c>
      <c r="N364" t="s">
        <v>1392</v>
      </c>
    </row>
    <row r="365" spans="12:14">
      <c r="L365">
        <v>363</v>
      </c>
      <c r="M365" t="s">
        <v>1393</v>
      </c>
      <c r="N365" t="s">
        <v>1392</v>
      </c>
    </row>
    <row r="366" spans="12:14">
      <c r="L366">
        <v>364</v>
      </c>
      <c r="M366" t="s">
        <v>1394</v>
      </c>
      <c r="N366" t="s">
        <v>1395</v>
      </c>
    </row>
    <row r="367" spans="12:14">
      <c r="L367">
        <v>365</v>
      </c>
      <c r="M367" t="s">
        <v>1396</v>
      </c>
      <c r="N367" t="s">
        <v>1397</v>
      </c>
    </row>
    <row r="368" spans="12:14">
      <c r="L368">
        <v>366</v>
      </c>
      <c r="M368" t="s">
        <v>1398</v>
      </c>
      <c r="N368" t="s">
        <v>1399</v>
      </c>
    </row>
    <row r="369" spans="12:14">
      <c r="L369">
        <v>367</v>
      </c>
      <c r="M369" t="s">
        <v>1400</v>
      </c>
      <c r="N369" t="s">
        <v>1399</v>
      </c>
    </row>
    <row r="370" spans="12:14">
      <c r="L370">
        <v>368</v>
      </c>
      <c r="M370" t="s">
        <v>1401</v>
      </c>
      <c r="N370" t="s">
        <v>1402</v>
      </c>
    </row>
    <row r="371" spans="12:14">
      <c r="L371">
        <v>369</v>
      </c>
      <c r="M371" t="s">
        <v>1403</v>
      </c>
      <c r="N371" t="s">
        <v>1402</v>
      </c>
    </row>
    <row r="372" spans="12:14">
      <c r="L372">
        <v>370</v>
      </c>
      <c r="M372" t="s">
        <v>1404</v>
      </c>
      <c r="N372" t="s">
        <v>1405</v>
      </c>
    </row>
    <row r="373" spans="12:14">
      <c r="L373">
        <v>371</v>
      </c>
      <c r="M373" t="s">
        <v>1406</v>
      </c>
      <c r="N373" t="s">
        <v>1405</v>
      </c>
    </row>
    <row r="374" spans="12:14">
      <c r="L374">
        <v>372</v>
      </c>
      <c r="M374" t="s">
        <v>1407</v>
      </c>
      <c r="N374" t="s">
        <v>1408</v>
      </c>
    </row>
    <row r="375" spans="12:14">
      <c r="L375">
        <v>373</v>
      </c>
      <c r="M375" t="s">
        <v>364</v>
      </c>
      <c r="N375" t="s">
        <v>1409</v>
      </c>
    </row>
    <row r="376" spans="12:14">
      <c r="L376">
        <v>374</v>
      </c>
      <c r="M376" t="s">
        <v>1410</v>
      </c>
      <c r="N376" t="s">
        <v>1411</v>
      </c>
    </row>
    <row r="377" spans="12:14">
      <c r="L377">
        <v>375</v>
      </c>
      <c r="M377" t="s">
        <v>1412</v>
      </c>
      <c r="N377" t="s">
        <v>1411</v>
      </c>
    </row>
    <row r="378" spans="12:14">
      <c r="L378">
        <v>376</v>
      </c>
      <c r="M378" t="s">
        <v>368</v>
      </c>
      <c r="N378" t="s">
        <v>1413</v>
      </c>
    </row>
    <row r="379" spans="12:14">
      <c r="L379">
        <v>377</v>
      </c>
      <c r="M379" t="s">
        <v>1414</v>
      </c>
      <c r="N379" t="s">
        <v>1415</v>
      </c>
    </row>
    <row r="380" spans="12:14">
      <c r="L380">
        <v>378</v>
      </c>
      <c r="M380" t="s">
        <v>1416</v>
      </c>
      <c r="N380" t="s">
        <v>1417</v>
      </c>
    </row>
    <row r="381" spans="12:14">
      <c r="L381">
        <v>379</v>
      </c>
      <c r="M381" t="s">
        <v>1418</v>
      </c>
      <c r="N381" t="s">
        <v>1419</v>
      </c>
    </row>
    <row r="382" spans="12:14">
      <c r="L382">
        <v>380</v>
      </c>
      <c r="M382" t="s">
        <v>1138</v>
      </c>
      <c r="N382" t="s">
        <v>1420</v>
      </c>
    </row>
    <row r="383" spans="12:14">
      <c r="L383">
        <v>381</v>
      </c>
      <c r="M383" t="s">
        <v>1421</v>
      </c>
      <c r="N383" t="s">
        <v>1422</v>
      </c>
    </row>
    <row r="384" spans="12:14">
      <c r="L384">
        <v>382</v>
      </c>
      <c r="M384" t="s">
        <v>1423</v>
      </c>
      <c r="N384" t="s">
        <v>1422</v>
      </c>
    </row>
    <row r="385" spans="12:14">
      <c r="L385">
        <v>383</v>
      </c>
      <c r="M385" t="s">
        <v>1424</v>
      </c>
      <c r="N385" t="s">
        <v>1425</v>
      </c>
    </row>
    <row r="386" spans="12:14">
      <c r="L386">
        <v>384</v>
      </c>
      <c r="M386" t="s">
        <v>1426</v>
      </c>
      <c r="N386" t="s">
        <v>1427</v>
      </c>
    </row>
    <row r="387" spans="12:14">
      <c r="L387">
        <v>385</v>
      </c>
      <c r="M387" t="s">
        <v>1428</v>
      </c>
      <c r="N387" t="s">
        <v>1427</v>
      </c>
    </row>
    <row r="388" spans="12:14">
      <c r="L388">
        <v>386</v>
      </c>
      <c r="M388" t="s">
        <v>1429</v>
      </c>
      <c r="N388" t="s">
        <v>1430</v>
      </c>
    </row>
    <row r="389" spans="12:14">
      <c r="L389">
        <v>387</v>
      </c>
      <c r="M389" t="s">
        <v>373</v>
      </c>
      <c r="N389" t="s">
        <v>1431</v>
      </c>
    </row>
    <row r="390" spans="12:14">
      <c r="L390">
        <v>388</v>
      </c>
      <c r="M390" t="s">
        <v>1432</v>
      </c>
      <c r="N390" t="s">
        <v>1433</v>
      </c>
    </row>
    <row r="391" spans="12:14">
      <c r="L391">
        <v>389</v>
      </c>
      <c r="M391" t="s">
        <v>1434</v>
      </c>
      <c r="N391" t="s">
        <v>1433</v>
      </c>
    </row>
    <row r="392" spans="12:14">
      <c r="L392">
        <v>390</v>
      </c>
      <c r="M392" t="s">
        <v>1435</v>
      </c>
      <c r="N392" t="s">
        <v>1433</v>
      </c>
    </row>
    <row r="393" spans="12:14">
      <c r="L393">
        <v>391</v>
      </c>
      <c r="M393" t="s">
        <v>377</v>
      </c>
      <c r="N393" t="s">
        <v>1436</v>
      </c>
    </row>
    <row r="394" spans="12:14">
      <c r="L394">
        <v>392</v>
      </c>
      <c r="M394" t="s">
        <v>1437</v>
      </c>
      <c r="N394" t="s">
        <v>1438</v>
      </c>
    </row>
    <row r="395" spans="12:14">
      <c r="L395">
        <v>393</v>
      </c>
      <c r="M395" t="s">
        <v>1439</v>
      </c>
      <c r="N395" t="s">
        <v>1438</v>
      </c>
    </row>
    <row r="396" spans="12:14">
      <c r="L396">
        <v>394</v>
      </c>
      <c r="M396" t="s">
        <v>382</v>
      </c>
      <c r="N396" t="s">
        <v>1440</v>
      </c>
    </row>
    <row r="397" spans="12:14">
      <c r="L397">
        <v>395</v>
      </c>
      <c r="M397" t="s">
        <v>1441</v>
      </c>
      <c r="N397" t="s">
        <v>1442</v>
      </c>
    </row>
    <row r="398" spans="12:14">
      <c r="L398">
        <v>396</v>
      </c>
      <c r="M398" t="s">
        <v>1443</v>
      </c>
      <c r="N398" t="s">
        <v>1444</v>
      </c>
    </row>
    <row r="399" spans="12:14">
      <c r="L399">
        <v>397</v>
      </c>
      <c r="M399" t="s">
        <v>1445</v>
      </c>
      <c r="N399" t="s">
        <v>1444</v>
      </c>
    </row>
    <row r="400" spans="12:14">
      <c r="L400">
        <v>398</v>
      </c>
      <c r="M400" t="s">
        <v>1446</v>
      </c>
      <c r="N400" t="s">
        <v>1447</v>
      </c>
    </row>
    <row r="401" spans="12:14">
      <c r="L401">
        <v>399</v>
      </c>
      <c r="M401" t="s">
        <v>1448</v>
      </c>
      <c r="N401" t="s">
        <v>1447</v>
      </c>
    </row>
    <row r="402" spans="12:14">
      <c r="L402">
        <v>400</v>
      </c>
      <c r="M402" t="s">
        <v>1449</v>
      </c>
      <c r="N402" t="s">
        <v>1450</v>
      </c>
    </row>
    <row r="403" spans="12:14">
      <c r="L403">
        <v>401</v>
      </c>
      <c r="M403" t="s">
        <v>387</v>
      </c>
      <c r="N403" t="s">
        <v>1451</v>
      </c>
    </row>
    <row r="404" spans="12:14">
      <c r="L404">
        <v>402</v>
      </c>
      <c r="M404" t="s">
        <v>1452</v>
      </c>
      <c r="N404" t="s">
        <v>1453</v>
      </c>
    </row>
    <row r="405" spans="12:14">
      <c r="L405">
        <v>403</v>
      </c>
      <c r="M405" t="s">
        <v>1454</v>
      </c>
      <c r="N405" t="s">
        <v>1453</v>
      </c>
    </row>
    <row r="406" spans="12:14">
      <c r="L406">
        <v>404</v>
      </c>
      <c r="M406" t="s">
        <v>1455</v>
      </c>
      <c r="N406" t="s">
        <v>1456</v>
      </c>
    </row>
    <row r="407" spans="12:14">
      <c r="L407">
        <v>405</v>
      </c>
      <c r="M407" t="s">
        <v>1457</v>
      </c>
      <c r="N407" t="s">
        <v>1456</v>
      </c>
    </row>
    <row r="408" spans="12:14">
      <c r="L408">
        <v>406</v>
      </c>
      <c r="M408" t="s">
        <v>1458</v>
      </c>
      <c r="N408" t="s">
        <v>1459</v>
      </c>
    </row>
    <row r="409" spans="12:14">
      <c r="L409">
        <v>407</v>
      </c>
      <c r="M409" t="s">
        <v>1460</v>
      </c>
      <c r="N409" t="s">
        <v>1459</v>
      </c>
    </row>
    <row r="410" spans="12:14">
      <c r="L410">
        <v>408</v>
      </c>
      <c r="M410" t="s">
        <v>391</v>
      </c>
      <c r="N410" t="s">
        <v>1461</v>
      </c>
    </row>
    <row r="411" spans="12:14">
      <c r="L411">
        <v>409</v>
      </c>
      <c r="M411" t="s">
        <v>1462</v>
      </c>
      <c r="N411" t="s">
        <v>1463</v>
      </c>
    </row>
    <row r="412" spans="12:14">
      <c r="L412">
        <v>410</v>
      </c>
      <c r="M412" t="s">
        <v>1464</v>
      </c>
      <c r="N412" t="s">
        <v>1463</v>
      </c>
    </row>
    <row r="413" spans="12:14">
      <c r="L413">
        <v>411</v>
      </c>
      <c r="M413" t="s">
        <v>1465</v>
      </c>
      <c r="N413" t="s">
        <v>1466</v>
      </c>
    </row>
    <row r="414" spans="12:14">
      <c r="L414">
        <v>412</v>
      </c>
      <c r="M414" t="s">
        <v>1467</v>
      </c>
      <c r="N414" t="s">
        <v>1468</v>
      </c>
    </row>
    <row r="415" spans="12:14">
      <c r="L415">
        <v>413</v>
      </c>
      <c r="M415" t="s">
        <v>1469</v>
      </c>
      <c r="N415" t="s">
        <v>1468</v>
      </c>
    </row>
    <row r="416" spans="12:14">
      <c r="L416">
        <v>414</v>
      </c>
      <c r="M416" t="s">
        <v>396</v>
      </c>
      <c r="N416" t="s">
        <v>1470</v>
      </c>
    </row>
    <row r="417" spans="12:14">
      <c r="L417">
        <v>415</v>
      </c>
      <c r="M417" t="s">
        <v>1471</v>
      </c>
      <c r="N417" t="s">
        <v>1472</v>
      </c>
    </row>
    <row r="418" spans="12:14">
      <c r="L418">
        <v>416</v>
      </c>
      <c r="M418" t="s">
        <v>1473</v>
      </c>
      <c r="N418" t="s">
        <v>1472</v>
      </c>
    </row>
    <row r="419" spans="12:14">
      <c r="L419">
        <v>417</v>
      </c>
      <c r="M419" t="s">
        <v>400</v>
      </c>
      <c r="N419" t="s">
        <v>1474</v>
      </c>
    </row>
    <row r="420" spans="12:14">
      <c r="L420">
        <v>418</v>
      </c>
      <c r="M420" t="s">
        <v>1475</v>
      </c>
      <c r="N420" t="s">
        <v>1476</v>
      </c>
    </row>
    <row r="421" spans="12:14">
      <c r="L421">
        <v>419</v>
      </c>
      <c r="M421" t="s">
        <v>1477</v>
      </c>
      <c r="N421" t="s">
        <v>1476</v>
      </c>
    </row>
    <row r="422" spans="12:14">
      <c r="L422">
        <v>420</v>
      </c>
      <c r="M422" t="s">
        <v>1478</v>
      </c>
      <c r="N422" t="s">
        <v>1479</v>
      </c>
    </row>
    <row r="423" spans="12:14">
      <c r="L423">
        <v>421</v>
      </c>
      <c r="M423" t="s">
        <v>1480</v>
      </c>
      <c r="N423" t="s">
        <v>1481</v>
      </c>
    </row>
    <row r="424" spans="12:14">
      <c r="L424">
        <v>422</v>
      </c>
      <c r="M424" t="s">
        <v>405</v>
      </c>
      <c r="N424" t="s">
        <v>1482</v>
      </c>
    </row>
    <row r="425" spans="12:14">
      <c r="L425">
        <v>423</v>
      </c>
      <c r="M425" t="s">
        <v>1483</v>
      </c>
      <c r="N425" t="s">
        <v>1484</v>
      </c>
    </row>
    <row r="426" spans="12:14">
      <c r="L426">
        <v>424</v>
      </c>
      <c r="M426" t="s">
        <v>1485</v>
      </c>
      <c r="N426" t="s">
        <v>1486</v>
      </c>
    </row>
    <row r="427" spans="12:14">
      <c r="L427">
        <v>425</v>
      </c>
      <c r="M427" t="s">
        <v>410</v>
      </c>
      <c r="N427" t="s">
        <v>1487</v>
      </c>
    </row>
    <row r="428" spans="12:14">
      <c r="L428">
        <v>426</v>
      </c>
      <c r="M428" t="s">
        <v>1488</v>
      </c>
      <c r="N428" t="s">
        <v>1489</v>
      </c>
    </row>
    <row r="429" spans="12:14">
      <c r="L429">
        <v>427</v>
      </c>
      <c r="M429" t="s">
        <v>1490</v>
      </c>
      <c r="N429" t="s">
        <v>1489</v>
      </c>
    </row>
    <row r="430" spans="12:14">
      <c r="L430">
        <v>428</v>
      </c>
      <c r="M430" t="s">
        <v>414</v>
      </c>
      <c r="N430" t="s">
        <v>1491</v>
      </c>
    </row>
    <row r="431" spans="12:14">
      <c r="L431">
        <v>429</v>
      </c>
      <c r="M431" t="s">
        <v>1492</v>
      </c>
      <c r="N431" t="s">
        <v>1493</v>
      </c>
    </row>
    <row r="432" spans="12:14">
      <c r="L432">
        <v>430</v>
      </c>
      <c r="M432" t="s">
        <v>1494</v>
      </c>
      <c r="N432" t="s">
        <v>1493</v>
      </c>
    </row>
    <row r="433" spans="12:14">
      <c r="L433">
        <v>431</v>
      </c>
      <c r="M433" t="s">
        <v>1495</v>
      </c>
      <c r="N433" t="s">
        <v>1496</v>
      </c>
    </row>
    <row r="434" spans="12:14">
      <c r="L434">
        <v>432</v>
      </c>
      <c r="M434" t="s">
        <v>419</v>
      </c>
      <c r="N434" t="s">
        <v>1497</v>
      </c>
    </row>
    <row r="435" spans="12:14">
      <c r="L435">
        <v>433</v>
      </c>
      <c r="M435" t="s">
        <v>1498</v>
      </c>
      <c r="N435" t="s">
        <v>1499</v>
      </c>
    </row>
    <row r="436" spans="12:14">
      <c r="L436">
        <v>434</v>
      </c>
      <c r="M436" t="s">
        <v>1500</v>
      </c>
      <c r="N436" t="s">
        <v>1501</v>
      </c>
    </row>
    <row r="437" spans="12:14">
      <c r="L437">
        <v>435</v>
      </c>
      <c r="M437" t="s">
        <v>423</v>
      </c>
      <c r="N437" t="s">
        <v>1502</v>
      </c>
    </row>
    <row r="438" spans="12:14">
      <c r="L438">
        <v>436</v>
      </c>
      <c r="M438" t="s">
        <v>1503</v>
      </c>
      <c r="N438" t="s">
        <v>1504</v>
      </c>
    </row>
    <row r="439" spans="12:14">
      <c r="L439">
        <v>437</v>
      </c>
      <c r="M439" t="s">
        <v>1505</v>
      </c>
      <c r="N439" t="s">
        <v>1504</v>
      </c>
    </row>
    <row r="440" spans="12:14">
      <c r="L440">
        <v>438</v>
      </c>
      <c r="M440" t="s">
        <v>1506</v>
      </c>
      <c r="N440" t="s">
        <v>1507</v>
      </c>
    </row>
    <row r="441" spans="12:14">
      <c r="L441">
        <v>439</v>
      </c>
      <c r="M441" t="s">
        <v>428</v>
      </c>
      <c r="N441" t="s">
        <v>1508</v>
      </c>
    </row>
    <row r="442" spans="12:14">
      <c r="L442">
        <v>440</v>
      </c>
      <c r="M442" t="s">
        <v>1509</v>
      </c>
      <c r="N442" t="s">
        <v>1510</v>
      </c>
    </row>
    <row r="443" spans="12:14">
      <c r="L443">
        <v>441</v>
      </c>
      <c r="M443" t="s">
        <v>1511</v>
      </c>
      <c r="N443" t="s">
        <v>1510</v>
      </c>
    </row>
    <row r="444" spans="12:14">
      <c r="L444">
        <v>442</v>
      </c>
      <c r="M444" t="s">
        <v>1512</v>
      </c>
      <c r="N444" t="s">
        <v>1513</v>
      </c>
    </row>
    <row r="445" spans="12:14">
      <c r="L445">
        <v>443</v>
      </c>
      <c r="M445" t="s">
        <v>432</v>
      </c>
      <c r="N445" t="s">
        <v>1514</v>
      </c>
    </row>
    <row r="446" spans="12:14">
      <c r="L446">
        <v>444</v>
      </c>
      <c r="M446" t="s">
        <v>1515</v>
      </c>
      <c r="N446" t="s">
        <v>1516</v>
      </c>
    </row>
    <row r="447" spans="12:14">
      <c r="L447">
        <v>445</v>
      </c>
      <c r="M447" t="s">
        <v>1517</v>
      </c>
      <c r="N447" t="s">
        <v>1516</v>
      </c>
    </row>
    <row r="448" spans="12:14">
      <c r="L448">
        <v>446</v>
      </c>
      <c r="M448" t="s">
        <v>1518</v>
      </c>
      <c r="N448" t="s">
        <v>1519</v>
      </c>
    </row>
    <row r="449" spans="12:14">
      <c r="L449">
        <v>447</v>
      </c>
      <c r="M449" t="s">
        <v>1520</v>
      </c>
      <c r="N449" t="s">
        <v>1521</v>
      </c>
    </row>
    <row r="450" spans="12:14">
      <c r="L450">
        <v>448</v>
      </c>
      <c r="M450" t="s">
        <v>1522</v>
      </c>
      <c r="N450" t="s">
        <v>1521</v>
      </c>
    </row>
    <row r="451" spans="12:14">
      <c r="L451">
        <v>449</v>
      </c>
      <c r="M451" t="s">
        <v>1523</v>
      </c>
      <c r="N451" t="s">
        <v>1524</v>
      </c>
    </row>
    <row r="452" spans="12:14">
      <c r="L452">
        <v>450</v>
      </c>
      <c r="M452" t="s">
        <v>1525</v>
      </c>
      <c r="N452" t="s">
        <v>1526</v>
      </c>
    </row>
    <row r="453" spans="12:14">
      <c r="L453">
        <v>451</v>
      </c>
      <c r="M453" t="s">
        <v>1527</v>
      </c>
      <c r="N453" t="s">
        <v>1526</v>
      </c>
    </row>
    <row r="454" spans="12:14">
      <c r="L454">
        <v>452</v>
      </c>
      <c r="M454" t="s">
        <v>437</v>
      </c>
      <c r="N454" t="s">
        <v>1528</v>
      </c>
    </row>
    <row r="455" spans="12:14">
      <c r="L455">
        <v>453</v>
      </c>
      <c r="M455" t="s">
        <v>1529</v>
      </c>
      <c r="N455" t="s">
        <v>1530</v>
      </c>
    </row>
    <row r="456" spans="12:14">
      <c r="L456">
        <v>454</v>
      </c>
      <c r="M456" t="s">
        <v>441</v>
      </c>
      <c r="N456" t="s">
        <v>1531</v>
      </c>
    </row>
    <row r="457" spans="12:14">
      <c r="L457">
        <v>455</v>
      </c>
      <c r="M457" t="s">
        <v>1532</v>
      </c>
      <c r="N457" t="s">
        <v>1533</v>
      </c>
    </row>
    <row r="458" spans="12:14">
      <c r="L458">
        <v>456</v>
      </c>
      <c r="M458" t="s">
        <v>1534</v>
      </c>
      <c r="N458" t="s">
        <v>1535</v>
      </c>
    </row>
    <row r="459" spans="12:14">
      <c r="L459">
        <v>457</v>
      </c>
      <c r="M459" t="s">
        <v>1536</v>
      </c>
      <c r="N459" t="s">
        <v>1533</v>
      </c>
    </row>
    <row r="460" spans="12:14">
      <c r="L460">
        <v>458</v>
      </c>
      <c r="M460" t="s">
        <v>446</v>
      </c>
      <c r="N460" t="s">
        <v>1537</v>
      </c>
    </row>
    <row r="461" spans="12:14">
      <c r="L461">
        <v>459</v>
      </c>
      <c r="M461" t="s">
        <v>1538</v>
      </c>
      <c r="N461" t="s">
        <v>1539</v>
      </c>
    </row>
    <row r="462" spans="12:14">
      <c r="L462">
        <v>460</v>
      </c>
      <c r="M462" t="s">
        <v>1540</v>
      </c>
      <c r="N462" t="s">
        <v>1539</v>
      </c>
    </row>
    <row r="463" spans="12:14">
      <c r="L463">
        <v>461</v>
      </c>
      <c r="M463" t="s">
        <v>1541</v>
      </c>
      <c r="N463" t="s">
        <v>1542</v>
      </c>
    </row>
    <row r="464" spans="12:14">
      <c r="L464">
        <v>462</v>
      </c>
      <c r="M464" t="s">
        <v>1543</v>
      </c>
      <c r="N464" t="s">
        <v>1544</v>
      </c>
    </row>
    <row r="465" spans="12:14">
      <c r="L465">
        <v>463</v>
      </c>
      <c r="M465" t="s">
        <v>1545</v>
      </c>
      <c r="N465" t="s">
        <v>1544</v>
      </c>
    </row>
    <row r="466" spans="12:14">
      <c r="L466">
        <v>464</v>
      </c>
      <c r="M466" t="s">
        <v>450</v>
      </c>
      <c r="N466" t="s">
        <v>1546</v>
      </c>
    </row>
    <row r="467" spans="12:14">
      <c r="L467">
        <v>465</v>
      </c>
      <c r="M467" t="s">
        <v>1547</v>
      </c>
      <c r="N467" t="s">
        <v>1548</v>
      </c>
    </row>
    <row r="468" spans="12:14">
      <c r="L468">
        <v>466</v>
      </c>
      <c r="M468" t="s">
        <v>1549</v>
      </c>
      <c r="N468" t="s">
        <v>1548</v>
      </c>
    </row>
    <row r="469" spans="12:14">
      <c r="L469">
        <v>467</v>
      </c>
      <c r="M469" t="s">
        <v>455</v>
      </c>
      <c r="N469" t="s">
        <v>1550</v>
      </c>
    </row>
    <row r="470" spans="12:14">
      <c r="L470">
        <v>468</v>
      </c>
      <c r="M470" t="s">
        <v>1551</v>
      </c>
      <c r="N470" t="s">
        <v>1552</v>
      </c>
    </row>
    <row r="471" spans="12:14">
      <c r="L471">
        <v>469</v>
      </c>
      <c r="M471" t="s">
        <v>459</v>
      </c>
      <c r="N471" t="s">
        <v>1553</v>
      </c>
    </row>
    <row r="472" spans="12:14">
      <c r="L472">
        <v>470</v>
      </c>
      <c r="M472" t="s">
        <v>1554</v>
      </c>
      <c r="N472" t="s">
        <v>1555</v>
      </c>
    </row>
    <row r="473" spans="12:14">
      <c r="L473">
        <v>471</v>
      </c>
      <c r="M473" t="s">
        <v>463</v>
      </c>
      <c r="N473" t="s">
        <v>1556</v>
      </c>
    </row>
    <row r="474" spans="12:14">
      <c r="L474">
        <v>472</v>
      </c>
      <c r="M474" t="s">
        <v>1557</v>
      </c>
      <c r="N474" t="s">
        <v>1558</v>
      </c>
    </row>
    <row r="475" spans="12:14">
      <c r="L475">
        <v>473</v>
      </c>
      <c r="M475" t="s">
        <v>1559</v>
      </c>
      <c r="N475" t="s">
        <v>1558</v>
      </c>
    </row>
    <row r="476" spans="12:14">
      <c r="L476">
        <v>474</v>
      </c>
      <c r="M476" t="s">
        <v>1560</v>
      </c>
      <c r="N476" t="s">
        <v>1561</v>
      </c>
    </row>
    <row r="477" spans="12:14">
      <c r="L477">
        <v>475</v>
      </c>
      <c r="M477" t="s">
        <v>1562</v>
      </c>
      <c r="N477" t="s">
        <v>1561</v>
      </c>
    </row>
    <row r="478" spans="12:14">
      <c r="L478">
        <v>476</v>
      </c>
      <c r="M478" t="s">
        <v>1563</v>
      </c>
      <c r="N478" t="s">
        <v>1564</v>
      </c>
    </row>
    <row r="479" spans="12:14">
      <c r="L479">
        <v>477</v>
      </c>
      <c r="M479" t="s">
        <v>468</v>
      </c>
      <c r="N479" t="s">
        <v>1565</v>
      </c>
    </row>
    <row r="480" spans="12:14">
      <c r="L480">
        <v>478</v>
      </c>
      <c r="M480" t="s">
        <v>1566</v>
      </c>
      <c r="N480" t="s">
        <v>1567</v>
      </c>
    </row>
    <row r="481" spans="12:14">
      <c r="L481">
        <v>479</v>
      </c>
      <c r="M481" t="s">
        <v>1568</v>
      </c>
      <c r="N481" t="s">
        <v>1569</v>
      </c>
    </row>
    <row r="482" spans="12:14">
      <c r="L482">
        <v>480</v>
      </c>
      <c r="M482" t="s">
        <v>1570</v>
      </c>
      <c r="N482" t="s">
        <v>1571</v>
      </c>
    </row>
    <row r="483" spans="12:14">
      <c r="L483">
        <v>481</v>
      </c>
      <c r="M483" t="s">
        <v>1572</v>
      </c>
      <c r="N483" t="s">
        <v>1573</v>
      </c>
    </row>
    <row r="484" spans="12:14">
      <c r="L484">
        <v>482</v>
      </c>
      <c r="M484" t="s">
        <v>472</v>
      </c>
      <c r="N484" t="s">
        <v>1574</v>
      </c>
    </row>
    <row r="485" spans="12:14">
      <c r="L485">
        <v>483</v>
      </c>
      <c r="M485" t="s">
        <v>1575</v>
      </c>
      <c r="N485" t="s">
        <v>1576</v>
      </c>
    </row>
    <row r="486" spans="12:14">
      <c r="L486">
        <v>484</v>
      </c>
      <c r="M486" t="s">
        <v>1577</v>
      </c>
      <c r="N486" t="s">
        <v>1576</v>
      </c>
    </row>
    <row r="487" spans="12:14">
      <c r="L487">
        <v>485</v>
      </c>
      <c r="M487" t="s">
        <v>1578</v>
      </c>
      <c r="N487" t="s">
        <v>1579</v>
      </c>
    </row>
    <row r="488" spans="12:14">
      <c r="L488">
        <v>486</v>
      </c>
      <c r="M488" t="s">
        <v>1580</v>
      </c>
      <c r="N488" t="s">
        <v>1581</v>
      </c>
    </row>
    <row r="489" spans="12:14">
      <c r="L489">
        <v>487</v>
      </c>
      <c r="M489" t="s">
        <v>477</v>
      </c>
      <c r="N489" t="s">
        <v>1582</v>
      </c>
    </row>
    <row r="490" spans="12:14">
      <c r="L490">
        <v>488</v>
      </c>
      <c r="M490" t="s">
        <v>1583</v>
      </c>
      <c r="N490" t="s">
        <v>1584</v>
      </c>
    </row>
    <row r="491" spans="12:14">
      <c r="L491">
        <v>489</v>
      </c>
      <c r="M491" t="s">
        <v>1585</v>
      </c>
      <c r="N491" t="s">
        <v>1584</v>
      </c>
    </row>
    <row r="492" spans="12:14">
      <c r="L492">
        <v>490</v>
      </c>
      <c r="M492" t="s">
        <v>482</v>
      </c>
      <c r="N492" t="s">
        <v>1586</v>
      </c>
    </row>
    <row r="493" spans="12:14">
      <c r="L493">
        <v>491</v>
      </c>
      <c r="M493" t="s">
        <v>1587</v>
      </c>
      <c r="N493" t="s">
        <v>1588</v>
      </c>
    </row>
    <row r="494" spans="12:14">
      <c r="L494">
        <v>492</v>
      </c>
      <c r="M494" t="s">
        <v>1589</v>
      </c>
      <c r="N494" t="s">
        <v>1590</v>
      </c>
    </row>
    <row r="495" spans="12:14">
      <c r="L495">
        <v>493</v>
      </c>
      <c r="M495" t="s">
        <v>1591</v>
      </c>
      <c r="N495" t="s">
        <v>1588</v>
      </c>
    </row>
    <row r="496" spans="12:14">
      <c r="L496">
        <v>494</v>
      </c>
      <c r="M496" t="s">
        <v>1592</v>
      </c>
      <c r="N496" t="s">
        <v>1593</v>
      </c>
    </row>
    <row r="497" spans="12:14">
      <c r="L497">
        <v>495</v>
      </c>
      <c r="M497" t="s">
        <v>1594</v>
      </c>
      <c r="N497" t="s">
        <v>1595</v>
      </c>
    </row>
    <row r="498" spans="12:14">
      <c r="L498">
        <v>496</v>
      </c>
      <c r="M498" t="s">
        <v>486</v>
      </c>
      <c r="N498" t="s">
        <v>1596</v>
      </c>
    </row>
    <row r="499" spans="12:14">
      <c r="L499">
        <v>497</v>
      </c>
      <c r="M499" t="s">
        <v>1597</v>
      </c>
      <c r="N499" t="s">
        <v>1598</v>
      </c>
    </row>
    <row r="500" spans="12:14">
      <c r="L500">
        <v>498</v>
      </c>
      <c r="M500" t="s">
        <v>491</v>
      </c>
      <c r="N500" t="s">
        <v>1599</v>
      </c>
    </row>
    <row r="501" spans="12:14">
      <c r="L501">
        <v>499</v>
      </c>
      <c r="M501" t="s">
        <v>1600</v>
      </c>
      <c r="N501" t="s">
        <v>1601</v>
      </c>
    </row>
    <row r="502" spans="12:14">
      <c r="L502">
        <v>500</v>
      </c>
      <c r="M502" t="s">
        <v>1602</v>
      </c>
      <c r="N502" t="s">
        <v>1601</v>
      </c>
    </row>
    <row r="503" spans="12:14">
      <c r="L503">
        <v>501</v>
      </c>
      <c r="M503" t="s">
        <v>495</v>
      </c>
      <c r="N503" t="s">
        <v>1603</v>
      </c>
    </row>
    <row r="504" spans="12:14">
      <c r="L504">
        <v>502</v>
      </c>
      <c r="M504" t="s">
        <v>1604</v>
      </c>
      <c r="N504" t="s">
        <v>1605</v>
      </c>
    </row>
    <row r="505" spans="12:14">
      <c r="L505">
        <v>503</v>
      </c>
      <c r="M505" t="s">
        <v>1606</v>
      </c>
      <c r="N505" t="s">
        <v>1605</v>
      </c>
    </row>
    <row r="506" spans="12:14">
      <c r="L506">
        <v>504</v>
      </c>
      <c r="M506" t="s">
        <v>499</v>
      </c>
      <c r="N506" t="s">
        <v>1607</v>
      </c>
    </row>
    <row r="507" spans="12:14">
      <c r="L507">
        <v>505</v>
      </c>
      <c r="M507" t="s">
        <v>1608</v>
      </c>
      <c r="N507" t="s">
        <v>1609</v>
      </c>
    </row>
    <row r="508" spans="12:14">
      <c r="L508">
        <v>506</v>
      </c>
      <c r="M508" t="s">
        <v>1610</v>
      </c>
      <c r="N508" t="s">
        <v>1611</v>
      </c>
    </row>
    <row r="509" spans="12:14">
      <c r="L509">
        <v>507</v>
      </c>
      <c r="M509" t="s">
        <v>1612</v>
      </c>
      <c r="N509" t="s">
        <v>1609</v>
      </c>
    </row>
    <row r="510" spans="12:14">
      <c r="L510">
        <v>508</v>
      </c>
      <c r="M510" t="s">
        <v>1613</v>
      </c>
      <c r="N510" t="s">
        <v>1611</v>
      </c>
    </row>
    <row r="511" spans="12:14">
      <c r="L511">
        <v>509</v>
      </c>
      <c r="M511" t="s">
        <v>1614</v>
      </c>
      <c r="N511" t="s">
        <v>1615</v>
      </c>
    </row>
    <row r="512" spans="12:14">
      <c r="L512">
        <v>510</v>
      </c>
      <c r="M512" t="s">
        <v>1616</v>
      </c>
      <c r="N512" t="s">
        <v>1615</v>
      </c>
    </row>
    <row r="513" spans="12:14">
      <c r="L513">
        <v>511</v>
      </c>
      <c r="M513" t="s">
        <v>1617</v>
      </c>
      <c r="N513" t="s">
        <v>1618</v>
      </c>
    </row>
    <row r="514" spans="12:14">
      <c r="L514">
        <v>512</v>
      </c>
      <c r="M514" t="s">
        <v>1619</v>
      </c>
      <c r="N514" t="s">
        <v>1620</v>
      </c>
    </row>
    <row r="515" spans="12:14">
      <c r="L515">
        <v>513</v>
      </c>
      <c r="M515" t="s">
        <v>1621</v>
      </c>
      <c r="N515" t="s">
        <v>1620</v>
      </c>
    </row>
    <row r="516" spans="12:14">
      <c r="L516">
        <v>514</v>
      </c>
      <c r="M516" t="s">
        <v>1622</v>
      </c>
      <c r="N516" t="s">
        <v>1623</v>
      </c>
    </row>
    <row r="517" spans="12:14">
      <c r="L517">
        <v>515</v>
      </c>
      <c r="M517" t="s">
        <v>1624</v>
      </c>
      <c r="N517" t="s">
        <v>1623</v>
      </c>
    </row>
    <row r="518" spans="12:14">
      <c r="L518">
        <v>516</v>
      </c>
      <c r="M518" t="s">
        <v>503</v>
      </c>
      <c r="N518" t="s">
        <v>1625</v>
      </c>
    </row>
    <row r="519" spans="12:14">
      <c r="L519">
        <v>517</v>
      </c>
      <c r="M519" t="s">
        <v>1626</v>
      </c>
      <c r="N519" t="s">
        <v>1627</v>
      </c>
    </row>
    <row r="520" spans="12:14">
      <c r="L520">
        <v>518</v>
      </c>
      <c r="M520" t="s">
        <v>507</v>
      </c>
      <c r="N520" t="s">
        <v>1628</v>
      </c>
    </row>
    <row r="521" spans="12:14">
      <c r="L521">
        <v>519</v>
      </c>
      <c r="M521" t="s">
        <v>1629</v>
      </c>
      <c r="N521" t="s">
        <v>1630</v>
      </c>
    </row>
    <row r="522" spans="12:14">
      <c r="L522">
        <v>520</v>
      </c>
      <c r="M522" t="s">
        <v>1631</v>
      </c>
      <c r="N522" t="s">
        <v>1630</v>
      </c>
    </row>
    <row r="523" spans="12:14">
      <c r="L523">
        <v>521</v>
      </c>
      <c r="M523" t="s">
        <v>1632</v>
      </c>
      <c r="N523" t="s">
        <v>1633</v>
      </c>
    </row>
    <row r="524" spans="12:14">
      <c r="L524">
        <v>522</v>
      </c>
      <c r="M524" t="s">
        <v>1634</v>
      </c>
      <c r="N524" t="s">
        <v>1635</v>
      </c>
    </row>
    <row r="525" spans="12:14">
      <c r="L525">
        <v>523</v>
      </c>
      <c r="M525" t="s">
        <v>1636</v>
      </c>
      <c r="N525" t="s">
        <v>1635</v>
      </c>
    </row>
    <row r="526" spans="12:14">
      <c r="L526">
        <v>524</v>
      </c>
      <c r="M526" t="s">
        <v>512</v>
      </c>
      <c r="N526" t="s">
        <v>1637</v>
      </c>
    </row>
    <row r="527" spans="12:14">
      <c r="L527">
        <v>525</v>
      </c>
      <c r="M527" t="s">
        <v>1638</v>
      </c>
      <c r="N527" t="s">
        <v>1639</v>
      </c>
    </row>
    <row r="528" spans="12:14">
      <c r="L528">
        <v>526</v>
      </c>
      <c r="M528" t="s">
        <v>1640</v>
      </c>
      <c r="N528" t="s">
        <v>1639</v>
      </c>
    </row>
    <row r="529" spans="12:14">
      <c r="L529">
        <v>527</v>
      </c>
      <c r="M529" t="s">
        <v>1641</v>
      </c>
      <c r="N529" t="s">
        <v>1642</v>
      </c>
    </row>
    <row r="530" spans="12:14">
      <c r="L530">
        <v>528</v>
      </c>
      <c r="M530" t="s">
        <v>1643</v>
      </c>
      <c r="N530" t="s">
        <v>1644</v>
      </c>
    </row>
    <row r="531" spans="12:14">
      <c r="L531">
        <v>529</v>
      </c>
      <c r="M531" t="s">
        <v>1645</v>
      </c>
      <c r="N531" t="s">
        <v>1644</v>
      </c>
    </row>
    <row r="532" spans="12:14">
      <c r="L532">
        <v>530</v>
      </c>
      <c r="M532" t="s">
        <v>1646</v>
      </c>
      <c r="N532" t="s">
        <v>1644</v>
      </c>
    </row>
    <row r="533" spans="12:14">
      <c r="L533">
        <v>531</v>
      </c>
      <c r="M533" t="s">
        <v>516</v>
      </c>
      <c r="N533" t="s">
        <v>1647</v>
      </c>
    </row>
    <row r="534" spans="12:14">
      <c r="L534">
        <v>532</v>
      </c>
      <c r="M534" t="s">
        <v>1648</v>
      </c>
      <c r="N534" t="s">
        <v>1649</v>
      </c>
    </row>
    <row r="535" spans="12:14">
      <c r="L535">
        <v>533</v>
      </c>
      <c r="M535" t="s">
        <v>1650</v>
      </c>
      <c r="N535" t="s">
        <v>1649</v>
      </c>
    </row>
    <row r="536" spans="12:14">
      <c r="L536">
        <v>534</v>
      </c>
      <c r="M536" t="s">
        <v>1651</v>
      </c>
      <c r="N536" t="s">
        <v>1652</v>
      </c>
    </row>
    <row r="537" spans="12:14">
      <c r="L537">
        <v>535</v>
      </c>
      <c r="M537" t="s">
        <v>1653</v>
      </c>
      <c r="N537" t="s">
        <v>1652</v>
      </c>
    </row>
    <row r="538" spans="12:14">
      <c r="L538">
        <v>536</v>
      </c>
      <c r="M538" t="s">
        <v>1654</v>
      </c>
      <c r="N538" t="s">
        <v>1655</v>
      </c>
    </row>
    <row r="539" spans="12:14">
      <c r="L539">
        <v>537</v>
      </c>
      <c r="M539" t="s">
        <v>1656</v>
      </c>
      <c r="N539" t="s">
        <v>1657</v>
      </c>
    </row>
    <row r="540" spans="12:14">
      <c r="L540">
        <v>538</v>
      </c>
      <c r="M540" t="s">
        <v>1658</v>
      </c>
      <c r="N540" t="s">
        <v>1659</v>
      </c>
    </row>
    <row r="541" spans="12:14">
      <c r="L541">
        <v>539</v>
      </c>
      <c r="M541" t="s">
        <v>520</v>
      </c>
      <c r="N541" t="s">
        <v>1660</v>
      </c>
    </row>
    <row r="542" spans="12:14">
      <c r="L542">
        <v>540</v>
      </c>
      <c r="M542" t="s">
        <v>1661</v>
      </c>
      <c r="N542" t="s">
        <v>1662</v>
      </c>
    </row>
    <row r="543" spans="12:14">
      <c r="L543">
        <v>541</v>
      </c>
      <c r="M543" t="s">
        <v>1663</v>
      </c>
      <c r="N543" t="s">
        <v>1662</v>
      </c>
    </row>
    <row r="544" spans="12:14">
      <c r="L544">
        <v>542</v>
      </c>
      <c r="M544" t="s">
        <v>1664</v>
      </c>
      <c r="N544" t="s">
        <v>1662</v>
      </c>
    </row>
    <row r="545" spans="12:14">
      <c r="L545">
        <v>543</v>
      </c>
      <c r="M545" t="s">
        <v>1665</v>
      </c>
      <c r="N545" t="s">
        <v>1666</v>
      </c>
    </row>
    <row r="546" spans="12:14">
      <c r="L546">
        <v>544</v>
      </c>
      <c r="M546" t="s">
        <v>1667</v>
      </c>
      <c r="N546" t="s">
        <v>1668</v>
      </c>
    </row>
    <row r="547" spans="12:14">
      <c r="L547">
        <v>545</v>
      </c>
      <c r="M547" t="s">
        <v>1669</v>
      </c>
      <c r="N547" t="s">
        <v>1670</v>
      </c>
    </row>
    <row r="548" spans="12:14">
      <c r="L548">
        <v>546</v>
      </c>
      <c r="M548" t="s">
        <v>1671</v>
      </c>
      <c r="N548" t="s">
        <v>1670</v>
      </c>
    </row>
    <row r="549" spans="12:14">
      <c r="L549">
        <v>547</v>
      </c>
      <c r="M549" t="s">
        <v>1672</v>
      </c>
      <c r="N549" t="s">
        <v>1673</v>
      </c>
    </row>
    <row r="550" spans="12:14">
      <c r="L550">
        <v>548</v>
      </c>
      <c r="M550" t="s">
        <v>1674</v>
      </c>
      <c r="N550" t="s">
        <v>1675</v>
      </c>
    </row>
    <row r="551" spans="12:14">
      <c r="L551">
        <v>549</v>
      </c>
      <c r="M551" t="s">
        <v>1676</v>
      </c>
      <c r="N551" t="s">
        <v>1675</v>
      </c>
    </row>
    <row r="552" spans="12:14">
      <c r="L552">
        <v>550</v>
      </c>
      <c r="M552" t="s">
        <v>1677</v>
      </c>
      <c r="N552" t="s">
        <v>1675</v>
      </c>
    </row>
    <row r="553" spans="12:14">
      <c r="L553">
        <v>551</v>
      </c>
      <c r="M553" t="s">
        <v>1678</v>
      </c>
      <c r="N553" t="s">
        <v>1679</v>
      </c>
    </row>
    <row r="554" spans="12:14">
      <c r="L554">
        <v>552</v>
      </c>
      <c r="M554" t="s">
        <v>1680</v>
      </c>
      <c r="N554" t="s">
        <v>1681</v>
      </c>
    </row>
    <row r="555" spans="12:14">
      <c r="L555">
        <v>553</v>
      </c>
      <c r="M555" t="s">
        <v>1682</v>
      </c>
      <c r="N555" t="s">
        <v>1681</v>
      </c>
    </row>
    <row r="556" spans="12:14">
      <c r="L556">
        <v>554</v>
      </c>
      <c r="M556" t="s">
        <v>1683</v>
      </c>
      <c r="N556" t="s">
        <v>1684</v>
      </c>
    </row>
    <row r="557" spans="12:14">
      <c r="L557">
        <v>555</v>
      </c>
      <c r="M557" t="s">
        <v>1685</v>
      </c>
      <c r="N557" t="s">
        <v>1684</v>
      </c>
    </row>
    <row r="558" spans="12:14">
      <c r="L558">
        <v>556</v>
      </c>
      <c r="M558" t="s">
        <v>1686</v>
      </c>
      <c r="N558" t="s">
        <v>1687</v>
      </c>
    </row>
    <row r="559" spans="12:14">
      <c r="L559">
        <v>557</v>
      </c>
      <c r="M559" t="s">
        <v>528</v>
      </c>
      <c r="N559" t="s">
        <v>1688</v>
      </c>
    </row>
    <row r="560" spans="12:14">
      <c r="L560">
        <v>558</v>
      </c>
      <c r="M560" t="s">
        <v>1689</v>
      </c>
      <c r="N560" t="s">
        <v>1690</v>
      </c>
    </row>
    <row r="561" spans="12:14">
      <c r="L561">
        <v>559</v>
      </c>
      <c r="M561" t="s">
        <v>1691</v>
      </c>
      <c r="N561" t="s">
        <v>1690</v>
      </c>
    </row>
    <row r="562" spans="12:14">
      <c r="L562">
        <v>560</v>
      </c>
      <c r="M562" t="s">
        <v>1692</v>
      </c>
      <c r="N562" t="s">
        <v>1690</v>
      </c>
    </row>
    <row r="563" spans="12:14">
      <c r="L563">
        <v>561</v>
      </c>
      <c r="M563" t="s">
        <v>1693</v>
      </c>
      <c r="N563" t="s">
        <v>1694</v>
      </c>
    </row>
    <row r="564" spans="12:14">
      <c r="L564">
        <v>562</v>
      </c>
      <c r="M564" t="s">
        <v>1695</v>
      </c>
      <c r="N564" t="s">
        <v>1694</v>
      </c>
    </row>
    <row r="565" spans="12:14">
      <c r="L565">
        <v>563</v>
      </c>
      <c r="M565" t="s">
        <v>1696</v>
      </c>
      <c r="N565" t="s">
        <v>1697</v>
      </c>
    </row>
    <row r="566" spans="12:14">
      <c r="L566">
        <v>564</v>
      </c>
      <c r="M566" t="s">
        <v>1698</v>
      </c>
      <c r="N566" t="s">
        <v>1697</v>
      </c>
    </row>
    <row r="567" spans="12:14">
      <c r="L567">
        <v>565</v>
      </c>
      <c r="M567" t="s">
        <v>1699</v>
      </c>
      <c r="N567" t="s">
        <v>1700</v>
      </c>
    </row>
    <row r="568" spans="12:14">
      <c r="L568">
        <v>566</v>
      </c>
      <c r="M568" t="s">
        <v>1701</v>
      </c>
      <c r="N568" t="s">
        <v>1702</v>
      </c>
    </row>
    <row r="569" spans="12:14">
      <c r="L569">
        <v>567</v>
      </c>
      <c r="M569" t="s">
        <v>1703</v>
      </c>
      <c r="N569" t="s">
        <v>1702</v>
      </c>
    </row>
    <row r="570" spans="12:14">
      <c r="L570">
        <v>568</v>
      </c>
      <c r="M570" t="s">
        <v>1704</v>
      </c>
      <c r="N570" t="s">
        <v>1705</v>
      </c>
    </row>
    <row r="571" spans="12:14">
      <c r="L571">
        <v>569</v>
      </c>
      <c r="M571" t="s">
        <v>1706</v>
      </c>
      <c r="N571" t="s">
        <v>1705</v>
      </c>
    </row>
    <row r="572" spans="12:14">
      <c r="L572">
        <v>570</v>
      </c>
      <c r="M572" t="s">
        <v>1707</v>
      </c>
      <c r="N572" t="s">
        <v>1708</v>
      </c>
    </row>
    <row r="573" spans="12:14">
      <c r="L573">
        <v>571</v>
      </c>
      <c r="M573" t="s">
        <v>1709</v>
      </c>
      <c r="N573" t="s">
        <v>1708</v>
      </c>
    </row>
    <row r="574" spans="12:14">
      <c r="L574">
        <v>572</v>
      </c>
      <c r="M574" t="s">
        <v>532</v>
      </c>
      <c r="N574" t="s">
        <v>1710</v>
      </c>
    </row>
    <row r="575" spans="12:14">
      <c r="L575">
        <v>573</v>
      </c>
      <c r="M575" t="s">
        <v>1711</v>
      </c>
      <c r="N575" t="s">
        <v>1712</v>
      </c>
    </row>
    <row r="576" spans="12:14">
      <c r="L576">
        <v>574</v>
      </c>
      <c r="M576" t="s">
        <v>537</v>
      </c>
      <c r="N576" t="s">
        <v>1713</v>
      </c>
    </row>
    <row r="577" spans="12:14">
      <c r="L577">
        <v>575</v>
      </c>
      <c r="M577" t="s">
        <v>1714</v>
      </c>
      <c r="N577" t="s">
        <v>1715</v>
      </c>
    </row>
    <row r="578" spans="12:14">
      <c r="L578">
        <v>576</v>
      </c>
      <c r="M578" t="s">
        <v>541</v>
      </c>
      <c r="N578" t="s">
        <v>1716</v>
      </c>
    </row>
    <row r="579" spans="12:14">
      <c r="L579">
        <v>577</v>
      </c>
      <c r="M579" t="s">
        <v>1717</v>
      </c>
      <c r="N579" t="s">
        <v>1718</v>
      </c>
    </row>
    <row r="580" spans="12:14">
      <c r="L580">
        <v>578</v>
      </c>
      <c r="M580" t="s">
        <v>1719</v>
      </c>
      <c r="N580" t="s">
        <v>1720</v>
      </c>
    </row>
    <row r="581" spans="12:14">
      <c r="L581">
        <v>579</v>
      </c>
      <c r="M581" t="s">
        <v>1721</v>
      </c>
      <c r="N581" t="s">
        <v>1718</v>
      </c>
    </row>
    <row r="582" spans="12:14">
      <c r="L582">
        <v>580</v>
      </c>
      <c r="M582" t="s">
        <v>1722</v>
      </c>
      <c r="N582" t="s">
        <v>1723</v>
      </c>
    </row>
    <row r="583" spans="12:14">
      <c r="L583">
        <v>581</v>
      </c>
      <c r="M583" t="s">
        <v>1724</v>
      </c>
      <c r="N583" t="s">
        <v>1725</v>
      </c>
    </row>
    <row r="584" spans="12:14">
      <c r="L584">
        <v>582</v>
      </c>
      <c r="M584" t="s">
        <v>545</v>
      </c>
      <c r="N584" t="s">
        <v>1726</v>
      </c>
    </row>
    <row r="585" spans="12:14">
      <c r="L585">
        <v>583</v>
      </c>
      <c r="M585" t="s">
        <v>1727</v>
      </c>
      <c r="N585" t="s">
        <v>1728</v>
      </c>
    </row>
    <row r="586" spans="12:14">
      <c r="L586">
        <v>584</v>
      </c>
      <c r="M586" t="s">
        <v>1729</v>
      </c>
      <c r="N586" t="s">
        <v>1730</v>
      </c>
    </row>
    <row r="587" spans="12:14">
      <c r="L587">
        <v>585</v>
      </c>
      <c r="M587" t="s">
        <v>1731</v>
      </c>
      <c r="N587" t="s">
        <v>1730</v>
      </c>
    </row>
    <row r="588" spans="12:14">
      <c r="L588">
        <v>586</v>
      </c>
      <c r="M588" t="s">
        <v>549</v>
      </c>
      <c r="N588" t="s">
        <v>1732</v>
      </c>
    </row>
    <row r="589" spans="12:14">
      <c r="L589">
        <v>587</v>
      </c>
      <c r="M589" t="s">
        <v>1733</v>
      </c>
      <c r="N589" t="s">
        <v>1734</v>
      </c>
    </row>
    <row r="590" spans="12:14">
      <c r="L590">
        <v>588</v>
      </c>
      <c r="M590" t="s">
        <v>553</v>
      </c>
      <c r="N590" t="s">
        <v>1735</v>
      </c>
    </row>
    <row r="591" spans="12:14">
      <c r="L591">
        <v>589</v>
      </c>
      <c r="M591" t="s">
        <v>1736</v>
      </c>
      <c r="N591" t="s">
        <v>1737</v>
      </c>
    </row>
    <row r="592" spans="12:14">
      <c r="L592">
        <v>590</v>
      </c>
      <c r="M592" t="s">
        <v>1738</v>
      </c>
      <c r="N592" t="s">
        <v>1737</v>
      </c>
    </row>
    <row r="593" spans="12:14">
      <c r="L593">
        <v>591</v>
      </c>
      <c r="M593" t="s">
        <v>558</v>
      </c>
      <c r="N593" t="s">
        <v>1739</v>
      </c>
    </row>
    <row r="594" spans="12:14">
      <c r="L594">
        <v>592</v>
      </c>
      <c r="M594" t="s">
        <v>1740</v>
      </c>
      <c r="N594" t="s">
        <v>1741</v>
      </c>
    </row>
    <row r="595" spans="12:14">
      <c r="L595">
        <v>593</v>
      </c>
      <c r="M595" t="s">
        <v>1742</v>
      </c>
      <c r="N595" t="s">
        <v>1741</v>
      </c>
    </row>
    <row r="596" spans="12:14">
      <c r="L596">
        <v>594</v>
      </c>
      <c r="M596" t="s">
        <v>1743</v>
      </c>
      <c r="N596" t="s">
        <v>1741</v>
      </c>
    </row>
    <row r="597" spans="12:14">
      <c r="L597">
        <v>595</v>
      </c>
      <c r="M597" t="s">
        <v>562</v>
      </c>
      <c r="N597" t="s">
        <v>1744</v>
      </c>
    </row>
    <row r="598" spans="12:14">
      <c r="L598">
        <v>596</v>
      </c>
      <c r="M598" t="s">
        <v>1745</v>
      </c>
      <c r="N598" t="s">
        <v>1746</v>
      </c>
    </row>
    <row r="599" spans="12:14">
      <c r="L599">
        <v>597</v>
      </c>
      <c r="M599" t="s">
        <v>1747</v>
      </c>
      <c r="N599" t="s">
        <v>1748</v>
      </c>
    </row>
    <row r="600" spans="12:14">
      <c r="L600">
        <v>598</v>
      </c>
      <c r="M600" t="s">
        <v>1749</v>
      </c>
      <c r="N600" t="s">
        <v>1750</v>
      </c>
    </row>
    <row r="601" spans="12:14">
      <c r="L601">
        <v>599</v>
      </c>
      <c r="M601" t="s">
        <v>566</v>
      </c>
      <c r="N601" t="s">
        <v>1751</v>
      </c>
    </row>
    <row r="602" spans="12:14">
      <c r="L602">
        <v>600</v>
      </c>
      <c r="M602" t="s">
        <v>1752</v>
      </c>
      <c r="N602" t="s">
        <v>1753</v>
      </c>
    </row>
    <row r="603" spans="12:14">
      <c r="L603">
        <v>601</v>
      </c>
      <c r="M603" t="s">
        <v>1754</v>
      </c>
      <c r="N603" t="s">
        <v>1753</v>
      </c>
    </row>
    <row r="604" spans="12:14">
      <c r="L604">
        <v>602</v>
      </c>
      <c r="M604" t="s">
        <v>1755</v>
      </c>
      <c r="N604" t="s">
        <v>1756</v>
      </c>
    </row>
    <row r="605" spans="12:14">
      <c r="L605">
        <v>603</v>
      </c>
      <c r="M605" t="s">
        <v>1757</v>
      </c>
      <c r="N605" t="s">
        <v>1756</v>
      </c>
    </row>
    <row r="606" spans="12:14">
      <c r="L606">
        <v>604</v>
      </c>
      <c r="M606" t="s">
        <v>1758</v>
      </c>
      <c r="N606" t="s">
        <v>1759</v>
      </c>
    </row>
    <row r="607" spans="12:14">
      <c r="L607">
        <v>605</v>
      </c>
      <c r="M607" t="s">
        <v>1760</v>
      </c>
      <c r="N607" t="s">
        <v>1759</v>
      </c>
    </row>
    <row r="608" spans="12:14">
      <c r="L608">
        <v>606</v>
      </c>
      <c r="M608" t="s">
        <v>1761</v>
      </c>
      <c r="N608" t="s">
        <v>1762</v>
      </c>
    </row>
    <row r="609" spans="12:14">
      <c r="L609">
        <v>607</v>
      </c>
      <c r="M609" t="s">
        <v>571</v>
      </c>
      <c r="N609" t="s">
        <v>1763</v>
      </c>
    </row>
    <row r="610" spans="12:14">
      <c r="L610">
        <v>608</v>
      </c>
      <c r="M610" t="s">
        <v>1764</v>
      </c>
      <c r="N610" t="s">
        <v>1765</v>
      </c>
    </row>
    <row r="611" spans="12:14">
      <c r="L611">
        <v>609</v>
      </c>
      <c r="M611" t="s">
        <v>575</v>
      </c>
      <c r="N611" t="s">
        <v>1766</v>
      </c>
    </row>
    <row r="612" spans="12:14">
      <c r="L612">
        <v>610</v>
      </c>
      <c r="M612" t="s">
        <v>1767</v>
      </c>
      <c r="N612" t="s">
        <v>1768</v>
      </c>
    </row>
    <row r="613" spans="12:14">
      <c r="L613">
        <v>611</v>
      </c>
      <c r="M613" t="s">
        <v>1769</v>
      </c>
      <c r="N613" t="s">
        <v>1768</v>
      </c>
    </row>
    <row r="614" spans="12:14">
      <c r="L614">
        <v>612</v>
      </c>
      <c r="M614" t="s">
        <v>579</v>
      </c>
      <c r="N614" t="s">
        <v>1770</v>
      </c>
    </row>
    <row r="615" spans="12:14">
      <c r="L615">
        <v>613</v>
      </c>
      <c r="M615" t="s">
        <v>1771</v>
      </c>
      <c r="N615" t="s">
        <v>1772</v>
      </c>
    </row>
    <row r="616" spans="12:14">
      <c r="L616">
        <v>614</v>
      </c>
      <c r="M616" t="s">
        <v>1773</v>
      </c>
      <c r="N616" t="s">
        <v>1772</v>
      </c>
    </row>
    <row r="617" spans="12:14">
      <c r="L617">
        <v>615</v>
      </c>
      <c r="M617" t="s">
        <v>1774</v>
      </c>
      <c r="N617" t="s">
        <v>1775</v>
      </c>
    </row>
    <row r="618" spans="12:14">
      <c r="L618">
        <v>616</v>
      </c>
      <c r="M618" t="s">
        <v>1776</v>
      </c>
      <c r="N618" t="s">
        <v>1775</v>
      </c>
    </row>
    <row r="619" spans="12:14">
      <c r="L619">
        <v>617</v>
      </c>
      <c r="M619" t="s">
        <v>1777</v>
      </c>
      <c r="N619" t="s">
        <v>1775</v>
      </c>
    </row>
    <row r="620" spans="12:14">
      <c r="L620">
        <v>618</v>
      </c>
      <c r="M620" t="s">
        <v>583</v>
      </c>
      <c r="N620" t="s">
        <v>1778</v>
      </c>
    </row>
    <row r="621" spans="12:14">
      <c r="L621">
        <v>619</v>
      </c>
      <c r="M621" t="s">
        <v>1779</v>
      </c>
      <c r="N621" t="s">
        <v>1780</v>
      </c>
    </row>
    <row r="622" spans="12:14">
      <c r="L622">
        <v>620</v>
      </c>
      <c r="M622" t="s">
        <v>1781</v>
      </c>
      <c r="N622" t="s">
        <v>1782</v>
      </c>
    </row>
    <row r="623" spans="12:14">
      <c r="L623">
        <v>621</v>
      </c>
      <c r="M623" t="s">
        <v>1783</v>
      </c>
      <c r="N623" t="s">
        <v>1784</v>
      </c>
    </row>
    <row r="624" spans="12:14">
      <c r="L624">
        <v>622</v>
      </c>
      <c r="M624" t="s">
        <v>1785</v>
      </c>
      <c r="N624" t="s">
        <v>1784</v>
      </c>
    </row>
    <row r="625" spans="12:14">
      <c r="L625">
        <v>623</v>
      </c>
      <c r="M625" t="s">
        <v>1786</v>
      </c>
      <c r="N625" t="s">
        <v>1787</v>
      </c>
    </row>
    <row r="626" spans="12:14">
      <c r="L626">
        <v>624</v>
      </c>
      <c r="M626" t="s">
        <v>1788</v>
      </c>
      <c r="N626" t="s">
        <v>1787</v>
      </c>
    </row>
    <row r="627" spans="12:14">
      <c r="L627">
        <v>625</v>
      </c>
      <c r="M627" t="s">
        <v>1789</v>
      </c>
      <c r="N627" t="s">
        <v>1787</v>
      </c>
    </row>
    <row r="628" spans="12:14">
      <c r="L628">
        <v>626</v>
      </c>
      <c r="M628" t="s">
        <v>591</v>
      </c>
      <c r="N628" t="s">
        <v>1790</v>
      </c>
    </row>
    <row r="629" spans="12:14">
      <c r="L629">
        <v>627</v>
      </c>
      <c r="M629" t="s">
        <v>1791</v>
      </c>
      <c r="N629" t="s">
        <v>1792</v>
      </c>
    </row>
    <row r="630" spans="12:14">
      <c r="L630">
        <v>628</v>
      </c>
      <c r="M630" t="s">
        <v>1793</v>
      </c>
      <c r="N630" t="s">
        <v>1792</v>
      </c>
    </row>
    <row r="631" spans="12:14">
      <c r="L631">
        <v>629</v>
      </c>
      <c r="M631" t="s">
        <v>1794</v>
      </c>
      <c r="N631" t="s">
        <v>1795</v>
      </c>
    </row>
    <row r="632" spans="12:14">
      <c r="L632">
        <v>630</v>
      </c>
      <c r="M632" t="s">
        <v>1796</v>
      </c>
      <c r="N632" t="s">
        <v>1795</v>
      </c>
    </row>
    <row r="633" spans="12:14">
      <c r="L633">
        <v>631</v>
      </c>
      <c r="M633" t="s">
        <v>1797</v>
      </c>
      <c r="N633" t="s">
        <v>1798</v>
      </c>
    </row>
    <row r="634" spans="12:14">
      <c r="L634">
        <v>632</v>
      </c>
      <c r="M634" t="s">
        <v>1799</v>
      </c>
      <c r="N634" t="s">
        <v>1798</v>
      </c>
    </row>
    <row r="635" spans="12:14">
      <c r="L635">
        <v>633</v>
      </c>
      <c r="M635" t="s">
        <v>1800</v>
      </c>
      <c r="N635" t="s">
        <v>1801</v>
      </c>
    </row>
    <row r="636" spans="12:14">
      <c r="L636">
        <v>634</v>
      </c>
      <c r="M636" t="s">
        <v>1802</v>
      </c>
      <c r="N636" t="s">
        <v>1801</v>
      </c>
    </row>
    <row r="637" spans="12:14">
      <c r="L637">
        <v>635</v>
      </c>
      <c r="M637" t="s">
        <v>1803</v>
      </c>
      <c r="N637" t="s">
        <v>1801</v>
      </c>
    </row>
    <row r="638" spans="12:14">
      <c r="L638">
        <v>636</v>
      </c>
      <c r="M638" t="s">
        <v>1804</v>
      </c>
      <c r="N638" t="s">
        <v>1805</v>
      </c>
    </row>
    <row r="639" spans="12:14">
      <c r="L639">
        <v>637</v>
      </c>
      <c r="M639" t="s">
        <v>1806</v>
      </c>
      <c r="N639" t="s">
        <v>1805</v>
      </c>
    </row>
    <row r="640" spans="12:14">
      <c r="L640">
        <v>638</v>
      </c>
      <c r="M640" t="s">
        <v>1807</v>
      </c>
      <c r="N640" t="s">
        <v>1808</v>
      </c>
    </row>
    <row r="641" spans="12:14">
      <c r="L641">
        <v>639</v>
      </c>
      <c r="M641" t="s">
        <v>1809</v>
      </c>
      <c r="N641" t="s">
        <v>1808</v>
      </c>
    </row>
    <row r="642" spans="12:14">
      <c r="L642">
        <v>640</v>
      </c>
      <c r="M642" t="s">
        <v>1810</v>
      </c>
      <c r="N642" t="s">
        <v>1811</v>
      </c>
    </row>
    <row r="643" spans="12:14">
      <c r="L643">
        <v>641</v>
      </c>
      <c r="M643" t="s">
        <v>1812</v>
      </c>
      <c r="N643" t="s">
        <v>1811</v>
      </c>
    </row>
    <row r="644" spans="12:14">
      <c r="L644">
        <v>642</v>
      </c>
      <c r="M644" t="s">
        <v>596</v>
      </c>
      <c r="N644" t="s">
        <v>1813</v>
      </c>
    </row>
    <row r="645" spans="12:14">
      <c r="L645">
        <v>643</v>
      </c>
      <c r="M645" t="s">
        <v>1814</v>
      </c>
      <c r="N645" t="s">
        <v>1815</v>
      </c>
    </row>
    <row r="646" spans="12:14">
      <c r="L646">
        <v>644</v>
      </c>
      <c r="M646" t="s">
        <v>1816</v>
      </c>
      <c r="N646" t="s">
        <v>1815</v>
      </c>
    </row>
    <row r="647" spans="12:14">
      <c r="L647">
        <v>645</v>
      </c>
      <c r="M647" t="s">
        <v>1817</v>
      </c>
      <c r="N647" t="s">
        <v>1815</v>
      </c>
    </row>
    <row r="648" spans="12:14">
      <c r="L648">
        <v>646</v>
      </c>
      <c r="M648" t="s">
        <v>600</v>
      </c>
      <c r="N648" t="s">
        <v>1818</v>
      </c>
    </row>
    <row r="649" spans="12:14">
      <c r="L649">
        <v>647</v>
      </c>
      <c r="M649" t="s">
        <v>1819</v>
      </c>
      <c r="N649" t="s">
        <v>1820</v>
      </c>
    </row>
    <row r="650" spans="12:14">
      <c r="L650">
        <v>648</v>
      </c>
      <c r="M650" t="s">
        <v>1821</v>
      </c>
      <c r="N650" t="s">
        <v>1822</v>
      </c>
    </row>
    <row r="651" spans="12:14">
      <c r="L651">
        <v>649</v>
      </c>
      <c r="M651" t="s">
        <v>1823</v>
      </c>
      <c r="N651" t="s">
        <v>1824</v>
      </c>
    </row>
    <row r="652" spans="12:14">
      <c r="L652">
        <v>650</v>
      </c>
      <c r="M652" t="s">
        <v>1825</v>
      </c>
      <c r="N652" t="s">
        <v>1824</v>
      </c>
    </row>
    <row r="653" spans="12:14">
      <c r="L653">
        <v>651</v>
      </c>
      <c r="M653" t="s">
        <v>604</v>
      </c>
      <c r="N653" t="s">
        <v>1826</v>
      </c>
    </row>
    <row r="654" spans="12:14">
      <c r="L654">
        <v>652</v>
      </c>
      <c r="M654" t="s">
        <v>1827</v>
      </c>
      <c r="N654" t="s">
        <v>1828</v>
      </c>
    </row>
    <row r="655" spans="12:14">
      <c r="L655">
        <v>653</v>
      </c>
      <c r="M655" t="s">
        <v>1829</v>
      </c>
      <c r="N655" t="s">
        <v>1828</v>
      </c>
    </row>
    <row r="656" spans="12:14">
      <c r="L656">
        <v>654</v>
      </c>
      <c r="M656" t="s">
        <v>1830</v>
      </c>
      <c r="N656" t="s">
        <v>1831</v>
      </c>
    </row>
    <row r="657" spans="12:14">
      <c r="L657">
        <v>655</v>
      </c>
      <c r="M657" t="s">
        <v>1832</v>
      </c>
      <c r="N657" t="s">
        <v>1833</v>
      </c>
    </row>
    <row r="658" spans="12:14">
      <c r="L658">
        <v>656</v>
      </c>
      <c r="M658" t="s">
        <v>608</v>
      </c>
      <c r="N658" t="s">
        <v>1834</v>
      </c>
    </row>
    <row r="659" spans="12:14">
      <c r="L659">
        <v>657</v>
      </c>
      <c r="M659" t="s">
        <v>1835</v>
      </c>
      <c r="N659" t="s">
        <v>1836</v>
      </c>
    </row>
    <row r="660" spans="12:14">
      <c r="L660">
        <v>658</v>
      </c>
      <c r="M660" t="s">
        <v>1837</v>
      </c>
      <c r="N660" t="s">
        <v>1838</v>
      </c>
    </row>
    <row r="661" spans="12:14">
      <c r="L661">
        <v>659</v>
      </c>
      <c r="M661" t="s">
        <v>1839</v>
      </c>
      <c r="N661" t="s">
        <v>1838</v>
      </c>
    </row>
    <row r="662" spans="12:14">
      <c r="L662">
        <v>660</v>
      </c>
      <c r="M662" t="s">
        <v>1840</v>
      </c>
      <c r="N662" t="s">
        <v>1841</v>
      </c>
    </row>
    <row r="663" spans="12:14">
      <c r="L663">
        <v>661</v>
      </c>
      <c r="M663" t="s">
        <v>1842</v>
      </c>
      <c r="N663" t="s">
        <v>1843</v>
      </c>
    </row>
    <row r="664" spans="12:14">
      <c r="L664">
        <v>662</v>
      </c>
      <c r="M664" t="s">
        <v>1844</v>
      </c>
      <c r="N664" t="s">
        <v>1843</v>
      </c>
    </row>
    <row r="665" spans="12:14">
      <c r="L665">
        <v>663</v>
      </c>
      <c r="M665" t="s">
        <v>612</v>
      </c>
      <c r="N665" t="s">
        <v>1845</v>
      </c>
    </row>
    <row r="666" spans="12:14">
      <c r="L666">
        <v>664</v>
      </c>
      <c r="M666" t="s">
        <v>1846</v>
      </c>
      <c r="N666" t="s">
        <v>1847</v>
      </c>
    </row>
    <row r="667" spans="12:14">
      <c r="L667">
        <v>665</v>
      </c>
      <c r="M667" t="s">
        <v>1848</v>
      </c>
      <c r="N667" t="s">
        <v>1847</v>
      </c>
    </row>
    <row r="668" spans="12:14">
      <c r="L668">
        <v>666</v>
      </c>
      <c r="M668" t="s">
        <v>1849</v>
      </c>
      <c r="N668" t="s">
        <v>1850</v>
      </c>
    </row>
    <row r="669" spans="12:14">
      <c r="L669">
        <v>667</v>
      </c>
      <c r="M669" t="s">
        <v>1851</v>
      </c>
      <c r="N669" t="s">
        <v>1850</v>
      </c>
    </row>
    <row r="670" spans="12:14">
      <c r="L670">
        <v>668</v>
      </c>
      <c r="M670" t="s">
        <v>1852</v>
      </c>
      <c r="N670" t="s">
        <v>1853</v>
      </c>
    </row>
    <row r="671" spans="12:14">
      <c r="L671">
        <v>669</v>
      </c>
      <c r="M671" t="s">
        <v>617</v>
      </c>
      <c r="N671" t="s">
        <v>1854</v>
      </c>
    </row>
    <row r="672" spans="12:14">
      <c r="L672">
        <v>670</v>
      </c>
      <c r="M672" t="s">
        <v>1855</v>
      </c>
      <c r="N672" t="s">
        <v>1856</v>
      </c>
    </row>
    <row r="673" spans="12:14">
      <c r="L673">
        <v>671</v>
      </c>
      <c r="M673" t="s">
        <v>1857</v>
      </c>
      <c r="N673" t="s">
        <v>1856</v>
      </c>
    </row>
    <row r="674" spans="12:14">
      <c r="L674">
        <v>672</v>
      </c>
      <c r="M674" t="s">
        <v>621</v>
      </c>
      <c r="N674" t="s">
        <v>1858</v>
      </c>
    </row>
    <row r="675" spans="12:14">
      <c r="L675">
        <v>673</v>
      </c>
      <c r="M675" t="s">
        <v>1859</v>
      </c>
      <c r="N675" t="s">
        <v>1860</v>
      </c>
    </row>
    <row r="676" spans="12:14">
      <c r="L676">
        <v>674</v>
      </c>
      <c r="M676" t="s">
        <v>1861</v>
      </c>
      <c r="N676" t="s">
        <v>1860</v>
      </c>
    </row>
    <row r="677" spans="12:14">
      <c r="L677">
        <v>675</v>
      </c>
      <c r="M677" t="s">
        <v>625</v>
      </c>
      <c r="N677" t="s">
        <v>1862</v>
      </c>
    </row>
    <row r="678" spans="12:14">
      <c r="L678">
        <v>676</v>
      </c>
      <c r="M678" t="s">
        <v>1863</v>
      </c>
      <c r="N678" t="s">
        <v>1864</v>
      </c>
    </row>
    <row r="679" spans="12:14">
      <c r="L679">
        <v>677</v>
      </c>
      <c r="M679" t="s">
        <v>1865</v>
      </c>
      <c r="N679" t="s">
        <v>1864</v>
      </c>
    </row>
    <row r="680" spans="12:14">
      <c r="L680">
        <v>678</v>
      </c>
      <c r="M680" t="s">
        <v>629</v>
      </c>
      <c r="N680" t="s">
        <v>1866</v>
      </c>
    </row>
    <row r="681" spans="12:14">
      <c r="L681">
        <v>679</v>
      </c>
      <c r="M681" t="s">
        <v>1867</v>
      </c>
      <c r="N681" t="s">
        <v>1868</v>
      </c>
    </row>
    <row r="682" spans="12:14">
      <c r="L682">
        <v>680</v>
      </c>
      <c r="M682" t="s">
        <v>1869</v>
      </c>
      <c r="N682" t="s">
        <v>1868</v>
      </c>
    </row>
    <row r="683" spans="12:14">
      <c r="L683">
        <v>681</v>
      </c>
      <c r="M683" t="s">
        <v>633</v>
      </c>
      <c r="N683" t="s">
        <v>1870</v>
      </c>
    </row>
    <row r="684" spans="12:14">
      <c r="L684">
        <v>682</v>
      </c>
      <c r="M684" t="s">
        <v>1871</v>
      </c>
      <c r="N684" t="s">
        <v>1872</v>
      </c>
    </row>
    <row r="685" spans="12:14">
      <c r="L685">
        <v>683</v>
      </c>
      <c r="M685" t="s">
        <v>1873</v>
      </c>
      <c r="N685" t="s">
        <v>1872</v>
      </c>
    </row>
    <row r="686" spans="12:14">
      <c r="L686">
        <v>684</v>
      </c>
      <c r="M686" t="s">
        <v>638</v>
      </c>
      <c r="N686" t="s">
        <v>1874</v>
      </c>
    </row>
    <row r="687" spans="12:14">
      <c r="L687">
        <v>685</v>
      </c>
      <c r="M687" t="s">
        <v>1875</v>
      </c>
      <c r="N687" t="s">
        <v>1876</v>
      </c>
    </row>
    <row r="688" spans="12:14">
      <c r="L688">
        <v>686</v>
      </c>
      <c r="M688" t="s">
        <v>1877</v>
      </c>
      <c r="N688" t="s">
        <v>1876</v>
      </c>
    </row>
    <row r="689" spans="12:14">
      <c r="L689">
        <v>687</v>
      </c>
      <c r="M689" t="s">
        <v>642</v>
      </c>
      <c r="N689" t="s">
        <v>1878</v>
      </c>
    </row>
    <row r="690" spans="12:14">
      <c r="L690">
        <v>688</v>
      </c>
      <c r="M690" t="s">
        <v>1879</v>
      </c>
      <c r="N690" t="s">
        <v>1880</v>
      </c>
    </row>
    <row r="691" spans="12:14">
      <c r="L691">
        <v>689</v>
      </c>
      <c r="M691" t="s">
        <v>1881</v>
      </c>
      <c r="N691" t="s">
        <v>1880</v>
      </c>
    </row>
    <row r="692" spans="12:14">
      <c r="L692">
        <v>690</v>
      </c>
      <c r="M692" t="s">
        <v>646</v>
      </c>
      <c r="N692" t="s">
        <v>1882</v>
      </c>
    </row>
    <row r="693" spans="12:14">
      <c r="L693">
        <v>691</v>
      </c>
      <c r="M693" t="s">
        <v>1883</v>
      </c>
      <c r="N693" t="s">
        <v>1884</v>
      </c>
    </row>
    <row r="694" spans="12:14">
      <c r="L694">
        <v>692</v>
      </c>
      <c r="M694" t="s">
        <v>1885</v>
      </c>
      <c r="N694" t="s">
        <v>1884</v>
      </c>
    </row>
    <row r="695" spans="12:14">
      <c r="L695">
        <v>693</v>
      </c>
      <c r="M695" t="s">
        <v>1886</v>
      </c>
      <c r="N695" t="s">
        <v>1887</v>
      </c>
    </row>
    <row r="696" spans="12:14">
      <c r="L696">
        <v>694</v>
      </c>
      <c r="M696" t="s">
        <v>650</v>
      </c>
      <c r="N696" t="s">
        <v>1888</v>
      </c>
    </row>
    <row r="697" spans="12:14">
      <c r="L697">
        <v>695</v>
      </c>
      <c r="M697" t="s">
        <v>1889</v>
      </c>
      <c r="N697" t="s">
        <v>1890</v>
      </c>
    </row>
    <row r="698" spans="12:14">
      <c r="L698">
        <v>696</v>
      </c>
      <c r="M698" t="s">
        <v>1891</v>
      </c>
      <c r="N698" t="s">
        <v>1890</v>
      </c>
    </row>
    <row r="699" spans="12:14">
      <c r="L699">
        <v>697</v>
      </c>
      <c r="M699" t="s">
        <v>1892</v>
      </c>
      <c r="N699" t="s">
        <v>1893</v>
      </c>
    </row>
    <row r="700" spans="12:14">
      <c r="L700">
        <v>698</v>
      </c>
      <c r="M700" t="s">
        <v>654</v>
      </c>
      <c r="N700" t="s">
        <v>1894</v>
      </c>
    </row>
    <row r="701" spans="12:14">
      <c r="L701">
        <v>699</v>
      </c>
      <c r="M701" t="s">
        <v>1895</v>
      </c>
      <c r="N701" t="s">
        <v>1896</v>
      </c>
    </row>
    <row r="702" spans="12:14">
      <c r="L702">
        <v>700</v>
      </c>
      <c r="M702" t="s">
        <v>658</v>
      </c>
      <c r="N702" t="s">
        <v>1897</v>
      </c>
    </row>
    <row r="703" spans="12:14">
      <c r="L703">
        <v>701</v>
      </c>
      <c r="M703" t="s">
        <v>1898</v>
      </c>
      <c r="N703" t="s">
        <v>1899</v>
      </c>
    </row>
    <row r="704" spans="12:14">
      <c r="L704">
        <v>702</v>
      </c>
      <c r="M704" t="s">
        <v>1900</v>
      </c>
      <c r="N704" t="s">
        <v>1901</v>
      </c>
    </row>
    <row r="705" spans="12:14">
      <c r="L705">
        <v>703</v>
      </c>
      <c r="M705" t="s">
        <v>1902</v>
      </c>
      <c r="N705" t="s">
        <v>1903</v>
      </c>
    </row>
    <row r="706" spans="12:14">
      <c r="L706">
        <v>704</v>
      </c>
      <c r="M706" t="s">
        <v>663</v>
      </c>
      <c r="N706" t="s">
        <v>1904</v>
      </c>
    </row>
    <row r="707" spans="12:14">
      <c r="L707">
        <v>705</v>
      </c>
      <c r="M707" t="s">
        <v>1905</v>
      </c>
      <c r="N707" t="s">
        <v>1906</v>
      </c>
    </row>
    <row r="708" spans="12:14">
      <c r="L708">
        <v>706</v>
      </c>
      <c r="M708" t="s">
        <v>1907</v>
      </c>
      <c r="N708" t="s">
        <v>1906</v>
      </c>
    </row>
    <row r="709" spans="12:14">
      <c r="L709">
        <v>707</v>
      </c>
      <c r="M709" t="s">
        <v>667</v>
      </c>
      <c r="N709" t="s">
        <v>1908</v>
      </c>
    </row>
    <row r="710" spans="12:14">
      <c r="L710">
        <v>708</v>
      </c>
      <c r="M710" t="s">
        <v>1909</v>
      </c>
      <c r="N710" t="s">
        <v>1910</v>
      </c>
    </row>
    <row r="711" spans="12:14">
      <c r="L711">
        <v>709</v>
      </c>
      <c r="M711" t="s">
        <v>1911</v>
      </c>
      <c r="N711" t="s">
        <v>1910</v>
      </c>
    </row>
    <row r="712" spans="12:14">
      <c r="L712">
        <v>710</v>
      </c>
      <c r="M712" t="s">
        <v>1912</v>
      </c>
      <c r="N712" t="s">
        <v>1913</v>
      </c>
    </row>
    <row r="713" spans="12:14">
      <c r="L713">
        <v>711</v>
      </c>
      <c r="M713" t="s">
        <v>1914</v>
      </c>
      <c r="N713" t="s">
        <v>1913</v>
      </c>
    </row>
    <row r="714" spans="12:14">
      <c r="L714">
        <v>712</v>
      </c>
      <c r="M714" t="s">
        <v>1915</v>
      </c>
      <c r="N714" t="s">
        <v>1916</v>
      </c>
    </row>
    <row r="715" spans="12:14">
      <c r="L715">
        <v>713</v>
      </c>
      <c r="M715" t="s">
        <v>671</v>
      </c>
      <c r="N715" t="s">
        <v>1917</v>
      </c>
    </row>
    <row r="716" spans="12:14">
      <c r="L716">
        <v>714</v>
      </c>
      <c r="M716" t="s">
        <v>1918</v>
      </c>
      <c r="N716" t="s">
        <v>1919</v>
      </c>
    </row>
    <row r="717" spans="12:14">
      <c r="L717">
        <v>715</v>
      </c>
      <c r="M717" t="s">
        <v>1920</v>
      </c>
      <c r="N717" t="s">
        <v>1919</v>
      </c>
    </row>
    <row r="718" spans="12:14">
      <c r="L718">
        <v>716</v>
      </c>
      <c r="M718" t="s">
        <v>1921</v>
      </c>
      <c r="N718" t="s">
        <v>1922</v>
      </c>
    </row>
    <row r="719" spans="12:14">
      <c r="L719">
        <v>717</v>
      </c>
      <c r="M719" t="s">
        <v>1923</v>
      </c>
      <c r="N719" t="s">
        <v>1922</v>
      </c>
    </row>
    <row r="720" spans="12:14">
      <c r="L720">
        <v>718</v>
      </c>
      <c r="M720" t="s">
        <v>1129</v>
      </c>
      <c r="N720" t="s">
        <v>1924</v>
      </c>
    </row>
    <row r="721" spans="12:14">
      <c r="L721">
        <v>719</v>
      </c>
      <c r="M721" t="s">
        <v>1925</v>
      </c>
      <c r="N721" t="s">
        <v>1926</v>
      </c>
    </row>
    <row r="722" spans="12:14">
      <c r="L722">
        <v>720</v>
      </c>
      <c r="M722" t="s">
        <v>1927</v>
      </c>
      <c r="N722" t="s">
        <v>1926</v>
      </c>
    </row>
    <row r="723" spans="12:14">
      <c r="L723">
        <v>721</v>
      </c>
      <c r="M723" t="s">
        <v>1928</v>
      </c>
      <c r="N723" t="s">
        <v>1929</v>
      </c>
    </row>
    <row r="724" spans="12:14">
      <c r="L724">
        <v>722</v>
      </c>
      <c r="M724" t="s">
        <v>1930</v>
      </c>
      <c r="N724" t="s">
        <v>1929</v>
      </c>
    </row>
    <row r="725" spans="12:14">
      <c r="L725">
        <v>723</v>
      </c>
      <c r="M725" t="s">
        <v>675</v>
      </c>
      <c r="N725" t="s">
        <v>1931</v>
      </c>
    </row>
    <row r="726" spans="12:14">
      <c r="L726">
        <v>724</v>
      </c>
      <c r="M726" t="s">
        <v>1932</v>
      </c>
      <c r="N726" t="s">
        <v>1933</v>
      </c>
    </row>
    <row r="727" spans="12:14">
      <c r="L727">
        <v>725</v>
      </c>
      <c r="M727" t="s">
        <v>1934</v>
      </c>
      <c r="N727" t="s">
        <v>1933</v>
      </c>
    </row>
    <row r="728" spans="12:14">
      <c r="L728">
        <v>726</v>
      </c>
      <c r="M728" t="s">
        <v>1935</v>
      </c>
      <c r="N728" t="s">
        <v>1936</v>
      </c>
    </row>
    <row r="729" spans="12:14">
      <c r="L729">
        <v>727</v>
      </c>
      <c r="M729" t="s">
        <v>1937</v>
      </c>
      <c r="N729" t="s">
        <v>1938</v>
      </c>
    </row>
    <row r="730" spans="12:14">
      <c r="L730">
        <v>728</v>
      </c>
      <c r="M730" t="s">
        <v>1939</v>
      </c>
      <c r="N730" t="s">
        <v>1940</v>
      </c>
    </row>
    <row r="731" spans="12:14">
      <c r="L731">
        <v>729</v>
      </c>
      <c r="M731" t="s">
        <v>1941</v>
      </c>
      <c r="N731" t="s">
        <v>1942</v>
      </c>
    </row>
    <row r="732" spans="12:14">
      <c r="L732">
        <v>730</v>
      </c>
      <c r="M732" t="s">
        <v>1943</v>
      </c>
      <c r="N732" t="s">
        <v>1942</v>
      </c>
    </row>
    <row r="733" spans="12:14">
      <c r="L733">
        <v>731</v>
      </c>
      <c r="M733" t="s">
        <v>679</v>
      </c>
      <c r="N733" t="s">
        <v>1944</v>
      </c>
    </row>
    <row r="734" spans="12:14">
      <c r="L734">
        <v>732</v>
      </c>
      <c r="M734" t="s">
        <v>1945</v>
      </c>
      <c r="N734" t="s">
        <v>1946</v>
      </c>
    </row>
    <row r="735" spans="12:14">
      <c r="L735">
        <v>733</v>
      </c>
      <c r="M735" t="s">
        <v>683</v>
      </c>
      <c r="N735" t="s">
        <v>1947</v>
      </c>
    </row>
    <row r="736" spans="12:14">
      <c r="L736">
        <v>734</v>
      </c>
      <c r="M736" t="s">
        <v>1948</v>
      </c>
      <c r="N736" t="s">
        <v>1949</v>
      </c>
    </row>
    <row r="737" spans="12:14">
      <c r="L737">
        <v>735</v>
      </c>
      <c r="M737" t="s">
        <v>1950</v>
      </c>
      <c r="N737" t="s">
        <v>1949</v>
      </c>
    </row>
    <row r="738" spans="12:14">
      <c r="L738">
        <v>736</v>
      </c>
      <c r="M738" t="s">
        <v>1951</v>
      </c>
      <c r="N738" t="s">
        <v>1952</v>
      </c>
    </row>
    <row r="739" spans="12:14">
      <c r="L739">
        <v>737</v>
      </c>
      <c r="M739" t="s">
        <v>688</v>
      </c>
      <c r="N739" t="s">
        <v>1953</v>
      </c>
    </row>
    <row r="740" spans="12:14">
      <c r="L740">
        <v>738</v>
      </c>
      <c r="M740" t="s">
        <v>1954</v>
      </c>
      <c r="N740" t="s">
        <v>1955</v>
      </c>
    </row>
    <row r="741" spans="12:14">
      <c r="L741">
        <v>739</v>
      </c>
      <c r="M741" t="s">
        <v>1956</v>
      </c>
      <c r="N741" t="s">
        <v>1955</v>
      </c>
    </row>
    <row r="742" spans="12:14">
      <c r="L742">
        <v>740</v>
      </c>
      <c r="M742" t="s">
        <v>1957</v>
      </c>
      <c r="N742" t="s">
        <v>1958</v>
      </c>
    </row>
    <row r="743" spans="12:14">
      <c r="L743">
        <v>741</v>
      </c>
      <c r="M743" t="s">
        <v>1959</v>
      </c>
      <c r="N743" t="s">
        <v>1960</v>
      </c>
    </row>
    <row r="744" spans="12:14">
      <c r="L744">
        <v>742</v>
      </c>
      <c r="M744" t="s">
        <v>1961</v>
      </c>
      <c r="N744" t="s">
        <v>1960</v>
      </c>
    </row>
    <row r="745" spans="12:14">
      <c r="L745">
        <v>743</v>
      </c>
      <c r="M745" t="s">
        <v>1962</v>
      </c>
      <c r="N745" t="s">
        <v>1963</v>
      </c>
    </row>
    <row r="746" spans="12:14">
      <c r="L746">
        <v>744</v>
      </c>
      <c r="M746" t="s">
        <v>692</v>
      </c>
      <c r="N746" t="s">
        <v>1964</v>
      </c>
    </row>
    <row r="747" spans="12:14">
      <c r="L747">
        <v>745</v>
      </c>
      <c r="M747" t="s">
        <v>1965</v>
      </c>
      <c r="N747" t="s">
        <v>1966</v>
      </c>
    </row>
    <row r="748" spans="12:14">
      <c r="L748">
        <v>746</v>
      </c>
      <c r="M748" t="s">
        <v>1967</v>
      </c>
      <c r="N748" t="s">
        <v>1966</v>
      </c>
    </row>
    <row r="749" spans="12:14">
      <c r="L749">
        <v>747</v>
      </c>
      <c r="M749" t="s">
        <v>1968</v>
      </c>
      <c r="N749" t="s">
        <v>1969</v>
      </c>
    </row>
    <row r="750" spans="12:14">
      <c r="L750">
        <v>748</v>
      </c>
      <c r="M750" t="s">
        <v>1970</v>
      </c>
      <c r="N750" t="s">
        <v>1971</v>
      </c>
    </row>
    <row r="751" spans="12:14">
      <c r="L751">
        <v>749</v>
      </c>
      <c r="M751" t="s">
        <v>1972</v>
      </c>
      <c r="N751" t="s">
        <v>1973</v>
      </c>
    </row>
    <row r="752" spans="12:14">
      <c r="L752">
        <v>750</v>
      </c>
      <c r="M752" t="s">
        <v>696</v>
      </c>
      <c r="N752" t="s">
        <v>1974</v>
      </c>
    </row>
    <row r="753" spans="12:14">
      <c r="L753">
        <v>751</v>
      </c>
      <c r="M753" t="s">
        <v>1975</v>
      </c>
      <c r="N753" t="s">
        <v>1976</v>
      </c>
    </row>
    <row r="754" spans="12:14">
      <c r="L754">
        <v>752</v>
      </c>
      <c r="M754" t="s">
        <v>1977</v>
      </c>
      <c r="N754" t="s">
        <v>1976</v>
      </c>
    </row>
    <row r="755" spans="12:14">
      <c r="L755">
        <v>753</v>
      </c>
      <c r="M755" t="s">
        <v>1978</v>
      </c>
      <c r="N755" t="s">
        <v>1979</v>
      </c>
    </row>
    <row r="756" spans="12:14">
      <c r="L756">
        <v>754</v>
      </c>
      <c r="M756" t="s">
        <v>700</v>
      </c>
      <c r="N756" t="s">
        <v>1980</v>
      </c>
    </row>
    <row r="757" spans="12:14">
      <c r="L757">
        <v>755</v>
      </c>
      <c r="M757" t="s">
        <v>1981</v>
      </c>
      <c r="N757" t="s">
        <v>1982</v>
      </c>
    </row>
    <row r="758" spans="12:14">
      <c r="L758">
        <v>756</v>
      </c>
      <c r="M758" t="s">
        <v>1983</v>
      </c>
      <c r="N758" t="s">
        <v>1982</v>
      </c>
    </row>
    <row r="759" spans="12:14">
      <c r="L759">
        <v>757</v>
      </c>
      <c r="M759" t="s">
        <v>1984</v>
      </c>
      <c r="N759" t="s">
        <v>1985</v>
      </c>
    </row>
    <row r="760" spans="12:14">
      <c r="L760">
        <v>758</v>
      </c>
      <c r="M760" t="s">
        <v>1986</v>
      </c>
      <c r="N760" t="s">
        <v>1982</v>
      </c>
    </row>
    <row r="761" spans="12:14">
      <c r="L761">
        <v>759</v>
      </c>
      <c r="M761" t="s">
        <v>1987</v>
      </c>
      <c r="N761" t="s">
        <v>1985</v>
      </c>
    </row>
    <row r="762" spans="12:14">
      <c r="L762">
        <v>760</v>
      </c>
      <c r="M762" t="s">
        <v>1988</v>
      </c>
      <c r="N762" t="s">
        <v>1989</v>
      </c>
    </row>
    <row r="763" spans="12:14">
      <c r="L763">
        <v>761</v>
      </c>
      <c r="M763" t="s">
        <v>1990</v>
      </c>
      <c r="N763" t="s">
        <v>1989</v>
      </c>
    </row>
    <row r="764" spans="12:14">
      <c r="L764">
        <v>762</v>
      </c>
      <c r="M764" t="s">
        <v>704</v>
      </c>
      <c r="N764" t="s">
        <v>1991</v>
      </c>
    </row>
    <row r="765" spans="12:14">
      <c r="L765">
        <v>763</v>
      </c>
      <c r="M765" t="s">
        <v>1992</v>
      </c>
      <c r="N765" t="s">
        <v>1993</v>
      </c>
    </row>
    <row r="766" spans="12:14">
      <c r="L766">
        <v>764</v>
      </c>
      <c r="M766" t="s">
        <v>708</v>
      </c>
      <c r="N766" t="s">
        <v>1994</v>
      </c>
    </row>
    <row r="767" spans="12:14">
      <c r="L767">
        <v>765</v>
      </c>
      <c r="M767" t="s">
        <v>1995</v>
      </c>
      <c r="N767" t="s">
        <v>1996</v>
      </c>
    </row>
    <row r="768" spans="12:14">
      <c r="L768">
        <v>766</v>
      </c>
      <c r="M768" t="s">
        <v>1997</v>
      </c>
      <c r="N768" t="s">
        <v>1998</v>
      </c>
    </row>
    <row r="769" spans="12:14">
      <c r="L769">
        <v>767</v>
      </c>
      <c r="M769" t="s">
        <v>712</v>
      </c>
      <c r="N769" t="s">
        <v>1999</v>
      </c>
    </row>
    <row r="770" spans="12:14">
      <c r="L770">
        <v>768</v>
      </c>
      <c r="M770" t="s">
        <v>2000</v>
      </c>
      <c r="N770" t="s">
        <v>2001</v>
      </c>
    </row>
    <row r="771" spans="12:14">
      <c r="L771">
        <v>769</v>
      </c>
      <c r="M771" t="s">
        <v>717</v>
      </c>
      <c r="N771" t="s">
        <v>2002</v>
      </c>
    </row>
    <row r="772" spans="12:14">
      <c r="L772">
        <v>770</v>
      </c>
      <c r="M772" t="s">
        <v>2003</v>
      </c>
      <c r="N772" t="s">
        <v>2004</v>
      </c>
    </row>
    <row r="773" spans="12:14">
      <c r="L773">
        <v>771</v>
      </c>
      <c r="M773" t="s">
        <v>2005</v>
      </c>
      <c r="N773" t="s">
        <v>2004</v>
      </c>
    </row>
    <row r="774" spans="12:14">
      <c r="L774">
        <v>772</v>
      </c>
      <c r="M774" t="s">
        <v>721</v>
      </c>
      <c r="N774" t="s">
        <v>2006</v>
      </c>
    </row>
    <row r="775" spans="12:14">
      <c r="L775">
        <v>773</v>
      </c>
      <c r="M775" t="s">
        <v>2007</v>
      </c>
      <c r="N775" t="s">
        <v>2008</v>
      </c>
    </row>
    <row r="776" spans="12:14">
      <c r="L776">
        <v>774</v>
      </c>
      <c r="M776" t="s">
        <v>2009</v>
      </c>
      <c r="N776" t="s">
        <v>2008</v>
      </c>
    </row>
    <row r="777" spans="12:14">
      <c r="L777">
        <v>775</v>
      </c>
      <c r="M777" t="s">
        <v>725</v>
      </c>
      <c r="N777" t="s">
        <v>2010</v>
      </c>
    </row>
    <row r="778" spans="12:14">
      <c r="L778">
        <v>776</v>
      </c>
      <c r="M778" t="s">
        <v>2011</v>
      </c>
      <c r="N778" t="s">
        <v>2012</v>
      </c>
    </row>
    <row r="779" spans="12:14">
      <c r="L779">
        <v>777</v>
      </c>
      <c r="M779" t="s">
        <v>2013</v>
      </c>
      <c r="N779" t="s">
        <v>2012</v>
      </c>
    </row>
    <row r="780" spans="12:14">
      <c r="L780">
        <v>778</v>
      </c>
      <c r="M780" t="s">
        <v>729</v>
      </c>
      <c r="N780" t="s">
        <v>2014</v>
      </c>
    </row>
    <row r="781" spans="12:14">
      <c r="L781">
        <v>779</v>
      </c>
      <c r="M781" t="s">
        <v>2015</v>
      </c>
      <c r="N781" t="s">
        <v>2016</v>
      </c>
    </row>
    <row r="782" spans="12:14">
      <c r="L782">
        <v>780</v>
      </c>
      <c r="M782" t="s">
        <v>2017</v>
      </c>
      <c r="N782" t="s">
        <v>2016</v>
      </c>
    </row>
    <row r="783" spans="12:14">
      <c r="L783">
        <v>781</v>
      </c>
      <c r="M783" t="s">
        <v>733</v>
      </c>
      <c r="N783" t="s">
        <v>2018</v>
      </c>
    </row>
    <row r="784" spans="12:14">
      <c r="L784">
        <v>782</v>
      </c>
      <c r="M784" t="s">
        <v>2019</v>
      </c>
      <c r="N784" t="s">
        <v>2020</v>
      </c>
    </row>
    <row r="785" spans="12:14">
      <c r="L785">
        <v>783</v>
      </c>
      <c r="M785" t="s">
        <v>2021</v>
      </c>
      <c r="N785" t="s">
        <v>2022</v>
      </c>
    </row>
    <row r="786" spans="12:14">
      <c r="L786">
        <v>784</v>
      </c>
      <c r="M786" t="s">
        <v>737</v>
      </c>
      <c r="N786" t="s">
        <v>2023</v>
      </c>
    </row>
    <row r="787" spans="12:14">
      <c r="L787">
        <v>785</v>
      </c>
      <c r="M787" t="s">
        <v>2024</v>
      </c>
      <c r="N787" t="s">
        <v>2025</v>
      </c>
    </row>
    <row r="788" spans="12:14">
      <c r="L788">
        <v>786</v>
      </c>
      <c r="M788" t="s">
        <v>742</v>
      </c>
      <c r="N788" t="s">
        <v>2026</v>
      </c>
    </row>
    <row r="789" spans="12:14">
      <c r="L789">
        <v>787</v>
      </c>
      <c r="M789" t="s">
        <v>2027</v>
      </c>
      <c r="N789" t="s">
        <v>2028</v>
      </c>
    </row>
    <row r="790" spans="12:14">
      <c r="L790">
        <v>788</v>
      </c>
      <c r="M790" t="s">
        <v>2029</v>
      </c>
      <c r="N790" t="s">
        <v>2030</v>
      </c>
    </row>
    <row r="791" spans="12:14">
      <c r="L791">
        <v>789</v>
      </c>
      <c r="M791" t="s">
        <v>2031</v>
      </c>
      <c r="N791" t="s">
        <v>2032</v>
      </c>
    </row>
    <row r="792" spans="12:14">
      <c r="L792">
        <v>790</v>
      </c>
      <c r="M792" t="s">
        <v>2033</v>
      </c>
      <c r="N792" t="s">
        <v>2032</v>
      </c>
    </row>
    <row r="793" spans="12:14">
      <c r="L793">
        <v>791</v>
      </c>
      <c r="M793" t="s">
        <v>2034</v>
      </c>
      <c r="N793" t="s">
        <v>2035</v>
      </c>
    </row>
    <row r="794" spans="12:14">
      <c r="L794">
        <v>792</v>
      </c>
      <c r="M794" t="s">
        <v>2036</v>
      </c>
      <c r="N794" t="s">
        <v>2035</v>
      </c>
    </row>
    <row r="795" spans="12:14">
      <c r="L795">
        <v>793</v>
      </c>
      <c r="M795" t="s">
        <v>2037</v>
      </c>
      <c r="N795" t="s">
        <v>2038</v>
      </c>
    </row>
    <row r="796" spans="12:14">
      <c r="L796">
        <v>794</v>
      </c>
      <c r="M796" t="s">
        <v>2039</v>
      </c>
      <c r="N796" t="s">
        <v>2038</v>
      </c>
    </row>
    <row r="797" spans="12:14">
      <c r="L797">
        <v>795</v>
      </c>
      <c r="M797" t="s">
        <v>2040</v>
      </c>
      <c r="N797" t="s">
        <v>2041</v>
      </c>
    </row>
    <row r="798" spans="12:14">
      <c r="L798">
        <v>796</v>
      </c>
      <c r="M798" t="s">
        <v>2042</v>
      </c>
      <c r="N798" t="s">
        <v>2043</v>
      </c>
    </row>
    <row r="799" spans="12:14">
      <c r="L799">
        <v>797</v>
      </c>
      <c r="M799" t="s">
        <v>2044</v>
      </c>
      <c r="N799" t="s">
        <v>2043</v>
      </c>
    </row>
    <row r="800" spans="12:14">
      <c r="L800">
        <v>798</v>
      </c>
      <c r="M800" t="s">
        <v>2045</v>
      </c>
      <c r="N800" t="s">
        <v>2046</v>
      </c>
    </row>
    <row r="801" spans="12:14">
      <c r="L801">
        <v>799</v>
      </c>
      <c r="M801" t="s">
        <v>746</v>
      </c>
      <c r="N801" t="s">
        <v>2047</v>
      </c>
    </row>
    <row r="802" spans="12:14">
      <c r="L802">
        <v>800</v>
      </c>
      <c r="M802" t="s">
        <v>2048</v>
      </c>
      <c r="N802" t="s">
        <v>2049</v>
      </c>
    </row>
    <row r="803" spans="12:14">
      <c r="L803">
        <v>801</v>
      </c>
      <c r="M803" t="s">
        <v>750</v>
      </c>
      <c r="N803" t="s">
        <v>2050</v>
      </c>
    </row>
    <row r="804" spans="12:14">
      <c r="L804">
        <v>802</v>
      </c>
      <c r="M804" t="s">
        <v>2051</v>
      </c>
      <c r="N804" t="s">
        <v>2052</v>
      </c>
    </row>
    <row r="805" spans="12:14">
      <c r="L805">
        <v>803</v>
      </c>
      <c r="M805" t="s">
        <v>2053</v>
      </c>
      <c r="N805" t="s">
        <v>2052</v>
      </c>
    </row>
    <row r="806" spans="12:14">
      <c r="L806">
        <v>804</v>
      </c>
      <c r="M806" t="s">
        <v>2054</v>
      </c>
      <c r="N806" t="s">
        <v>2055</v>
      </c>
    </row>
    <row r="807" spans="12:14">
      <c r="L807">
        <v>805</v>
      </c>
      <c r="M807" t="s">
        <v>2056</v>
      </c>
      <c r="N807" t="s">
        <v>2055</v>
      </c>
    </row>
    <row r="808" spans="12:14">
      <c r="L808">
        <v>806</v>
      </c>
      <c r="M808" t="s">
        <v>2057</v>
      </c>
      <c r="N808" t="s">
        <v>2058</v>
      </c>
    </row>
    <row r="809" spans="12:14">
      <c r="L809">
        <v>807</v>
      </c>
      <c r="M809" t="s">
        <v>2059</v>
      </c>
      <c r="N809" t="s">
        <v>2058</v>
      </c>
    </row>
    <row r="810" spans="12:14">
      <c r="L810">
        <v>808</v>
      </c>
      <c r="M810" t="s">
        <v>2060</v>
      </c>
      <c r="N810" t="s">
        <v>2061</v>
      </c>
    </row>
    <row r="811" spans="12:14">
      <c r="L811">
        <v>809</v>
      </c>
      <c r="M811" t="s">
        <v>2062</v>
      </c>
      <c r="N811" t="s">
        <v>2061</v>
      </c>
    </row>
    <row r="812" spans="12:14">
      <c r="L812">
        <v>810</v>
      </c>
      <c r="M812" t="s">
        <v>2063</v>
      </c>
      <c r="N812" t="s">
        <v>2064</v>
      </c>
    </row>
    <row r="813" spans="12:14">
      <c r="L813">
        <v>811</v>
      </c>
      <c r="M813" t="s">
        <v>2065</v>
      </c>
      <c r="N813" t="s">
        <v>2064</v>
      </c>
    </row>
    <row r="814" spans="12:14">
      <c r="L814">
        <v>812</v>
      </c>
      <c r="M814" t="s">
        <v>2066</v>
      </c>
      <c r="N814" t="s">
        <v>2067</v>
      </c>
    </row>
    <row r="815" spans="12:14">
      <c r="L815">
        <v>813</v>
      </c>
      <c r="M815" t="s">
        <v>758</v>
      </c>
      <c r="N815" t="s">
        <v>2068</v>
      </c>
    </row>
    <row r="816" spans="12:14">
      <c r="L816">
        <v>814</v>
      </c>
      <c r="M816" t="s">
        <v>2069</v>
      </c>
      <c r="N816" t="s">
        <v>2070</v>
      </c>
    </row>
    <row r="817" spans="12:14">
      <c r="L817">
        <v>815</v>
      </c>
      <c r="M817" t="s">
        <v>2071</v>
      </c>
      <c r="N817" t="s">
        <v>2070</v>
      </c>
    </row>
    <row r="818" spans="12:14">
      <c r="L818">
        <v>816</v>
      </c>
      <c r="M818" t="s">
        <v>2072</v>
      </c>
      <c r="N818" t="s">
        <v>2073</v>
      </c>
    </row>
    <row r="819" spans="12:14">
      <c r="L819">
        <v>817</v>
      </c>
      <c r="M819" t="s">
        <v>2074</v>
      </c>
      <c r="N819" t="s">
        <v>2075</v>
      </c>
    </row>
    <row r="820" spans="12:14">
      <c r="L820">
        <v>818</v>
      </c>
      <c r="M820" t="s">
        <v>2076</v>
      </c>
      <c r="N820" t="s">
        <v>2077</v>
      </c>
    </row>
    <row r="821" spans="12:14">
      <c r="L821">
        <v>819</v>
      </c>
      <c r="M821" t="s">
        <v>2078</v>
      </c>
      <c r="N821" t="s">
        <v>2079</v>
      </c>
    </row>
    <row r="822" spans="12:14">
      <c r="L822">
        <v>820</v>
      </c>
      <c r="M822" t="s">
        <v>2080</v>
      </c>
      <c r="N822" t="s">
        <v>2081</v>
      </c>
    </row>
    <row r="823" spans="12:14">
      <c r="L823">
        <v>821</v>
      </c>
      <c r="M823" t="s">
        <v>762</v>
      </c>
      <c r="N823" t="s">
        <v>2082</v>
      </c>
    </row>
    <row r="824" spans="12:14">
      <c r="L824">
        <v>822</v>
      </c>
      <c r="M824" t="s">
        <v>2083</v>
      </c>
      <c r="N824" t="s">
        <v>2084</v>
      </c>
    </row>
    <row r="825" spans="12:14">
      <c r="L825">
        <v>823</v>
      </c>
      <c r="M825" t="s">
        <v>2085</v>
      </c>
      <c r="N825" t="s">
        <v>2086</v>
      </c>
    </row>
    <row r="826" spans="12:14">
      <c r="L826">
        <v>824</v>
      </c>
      <c r="M826" t="s">
        <v>2087</v>
      </c>
      <c r="N826" t="s">
        <v>2088</v>
      </c>
    </row>
    <row r="827" spans="12:14">
      <c r="L827">
        <v>825</v>
      </c>
      <c r="M827" t="s">
        <v>2089</v>
      </c>
      <c r="N827" t="s">
        <v>2090</v>
      </c>
    </row>
    <row r="828" spans="12:14">
      <c r="L828">
        <v>826</v>
      </c>
      <c r="M828" t="s">
        <v>2091</v>
      </c>
      <c r="N828" t="s">
        <v>2092</v>
      </c>
    </row>
    <row r="829" spans="12:14">
      <c r="L829">
        <v>827</v>
      </c>
      <c r="M829" t="s">
        <v>2093</v>
      </c>
      <c r="N829" t="s">
        <v>2094</v>
      </c>
    </row>
    <row r="830" spans="12:14">
      <c r="L830">
        <v>828</v>
      </c>
      <c r="M830" t="s">
        <v>2095</v>
      </c>
      <c r="N830" t="s">
        <v>2096</v>
      </c>
    </row>
    <row r="831" spans="12:14">
      <c r="L831">
        <v>829</v>
      </c>
      <c r="M831" t="s">
        <v>767</v>
      </c>
      <c r="N831" t="s">
        <v>2097</v>
      </c>
    </row>
    <row r="832" spans="12:14">
      <c r="L832">
        <v>830</v>
      </c>
      <c r="M832" t="s">
        <v>2098</v>
      </c>
      <c r="N832" t="s">
        <v>2099</v>
      </c>
    </row>
    <row r="833" spans="12:14">
      <c r="L833">
        <v>831</v>
      </c>
      <c r="M833" t="s">
        <v>2100</v>
      </c>
      <c r="N833" t="s">
        <v>2101</v>
      </c>
    </row>
    <row r="834" spans="12:14">
      <c r="L834">
        <v>832</v>
      </c>
      <c r="M834" t="s">
        <v>771</v>
      </c>
      <c r="N834" t="s">
        <v>2102</v>
      </c>
    </row>
    <row r="835" spans="12:14">
      <c r="L835">
        <v>833</v>
      </c>
      <c r="M835" t="s">
        <v>2103</v>
      </c>
      <c r="N835" t="s">
        <v>2104</v>
      </c>
    </row>
    <row r="836" spans="12:14">
      <c r="L836">
        <v>834</v>
      </c>
      <c r="M836" t="s">
        <v>2105</v>
      </c>
      <c r="N836" t="s">
        <v>2104</v>
      </c>
    </row>
    <row r="837" spans="12:14">
      <c r="L837">
        <v>835</v>
      </c>
      <c r="M837" t="s">
        <v>775</v>
      </c>
      <c r="N837" t="s">
        <v>2106</v>
      </c>
    </row>
    <row r="838" spans="12:14">
      <c r="L838">
        <v>836</v>
      </c>
      <c r="M838" t="s">
        <v>2107</v>
      </c>
      <c r="N838" t="s">
        <v>2108</v>
      </c>
    </row>
    <row r="839" spans="12:14">
      <c r="L839">
        <v>837</v>
      </c>
      <c r="M839" t="s">
        <v>2109</v>
      </c>
      <c r="N839" t="s">
        <v>2110</v>
      </c>
    </row>
    <row r="840" spans="12:14">
      <c r="L840">
        <v>838</v>
      </c>
      <c r="M840" t="s">
        <v>783</v>
      </c>
      <c r="N840" t="s">
        <v>2111</v>
      </c>
    </row>
    <row r="841" spans="12:14">
      <c r="L841">
        <v>839</v>
      </c>
      <c r="M841" t="s">
        <v>2112</v>
      </c>
      <c r="N841" t="s">
        <v>2113</v>
      </c>
    </row>
    <row r="842" spans="12:14">
      <c r="L842">
        <v>840</v>
      </c>
      <c r="M842" t="s">
        <v>2114</v>
      </c>
      <c r="N842" t="s">
        <v>2113</v>
      </c>
    </row>
    <row r="843" spans="12:14">
      <c r="L843">
        <v>841</v>
      </c>
      <c r="M843" t="s">
        <v>787</v>
      </c>
      <c r="N843" t="s">
        <v>2115</v>
      </c>
    </row>
    <row r="844" spans="12:14">
      <c r="L844">
        <v>842</v>
      </c>
      <c r="M844" t="s">
        <v>2116</v>
      </c>
      <c r="N844" t="s">
        <v>2117</v>
      </c>
    </row>
    <row r="845" spans="12:14">
      <c r="L845">
        <v>843</v>
      </c>
      <c r="M845" t="s">
        <v>2118</v>
      </c>
      <c r="N845" t="s">
        <v>2117</v>
      </c>
    </row>
    <row r="846" spans="12:14">
      <c r="L846">
        <v>844</v>
      </c>
      <c r="M846" t="s">
        <v>2119</v>
      </c>
      <c r="N846" t="s">
        <v>2120</v>
      </c>
    </row>
    <row r="847" spans="12:14">
      <c r="L847">
        <v>845</v>
      </c>
      <c r="M847" t="s">
        <v>791</v>
      </c>
      <c r="N847" t="s">
        <v>2121</v>
      </c>
    </row>
    <row r="848" spans="12:14">
      <c r="L848">
        <v>846</v>
      </c>
      <c r="M848" t="s">
        <v>2122</v>
      </c>
      <c r="N848" t="s">
        <v>2123</v>
      </c>
    </row>
    <row r="849" spans="12:14">
      <c r="L849">
        <v>847</v>
      </c>
      <c r="M849" t="s">
        <v>2124</v>
      </c>
      <c r="N849" t="s">
        <v>2123</v>
      </c>
    </row>
    <row r="850" spans="12:14">
      <c r="L850">
        <v>848</v>
      </c>
      <c r="M850" t="s">
        <v>2125</v>
      </c>
      <c r="N850" t="s">
        <v>2126</v>
      </c>
    </row>
    <row r="851" spans="12:14">
      <c r="L851">
        <v>849</v>
      </c>
      <c r="M851" t="s">
        <v>2127</v>
      </c>
      <c r="N851" t="s">
        <v>2126</v>
      </c>
    </row>
    <row r="852" spans="12:14">
      <c r="L852">
        <v>850</v>
      </c>
      <c r="M852" t="s">
        <v>795</v>
      </c>
      <c r="N852" t="s">
        <v>2128</v>
      </c>
    </row>
    <row r="853" spans="12:14">
      <c r="L853">
        <v>851</v>
      </c>
      <c r="M853" t="s">
        <v>2129</v>
      </c>
      <c r="N853" t="s">
        <v>2130</v>
      </c>
    </row>
    <row r="854" spans="12:14">
      <c r="L854">
        <v>852</v>
      </c>
      <c r="M854" t="s">
        <v>2131</v>
      </c>
      <c r="N854" t="s">
        <v>2130</v>
      </c>
    </row>
    <row r="855" spans="12:14">
      <c r="L855">
        <v>853</v>
      </c>
      <c r="M855" t="s">
        <v>800</v>
      </c>
      <c r="N855" t="s">
        <v>2132</v>
      </c>
    </row>
    <row r="856" spans="12:14">
      <c r="L856">
        <v>854</v>
      </c>
      <c r="M856" t="s">
        <v>2133</v>
      </c>
      <c r="N856" t="s">
        <v>2134</v>
      </c>
    </row>
    <row r="857" spans="12:14">
      <c r="L857">
        <v>855</v>
      </c>
      <c r="M857" t="s">
        <v>2135</v>
      </c>
      <c r="N857" t="s">
        <v>2134</v>
      </c>
    </row>
    <row r="858" spans="12:14">
      <c r="L858">
        <v>856</v>
      </c>
      <c r="M858" t="s">
        <v>2136</v>
      </c>
      <c r="N858" t="s">
        <v>2137</v>
      </c>
    </row>
    <row r="859" spans="12:14">
      <c r="L859">
        <v>857</v>
      </c>
      <c r="M859" t="s">
        <v>2138</v>
      </c>
      <c r="N859" t="s">
        <v>2137</v>
      </c>
    </row>
    <row r="860" spans="12:14">
      <c r="L860">
        <v>858</v>
      </c>
      <c r="M860" t="s">
        <v>804</v>
      </c>
      <c r="N860" t="s">
        <v>2139</v>
      </c>
    </row>
    <row r="861" spans="12:14">
      <c r="L861">
        <v>859</v>
      </c>
      <c r="M861" t="s">
        <v>2140</v>
      </c>
      <c r="N861" t="s">
        <v>2141</v>
      </c>
    </row>
    <row r="862" spans="12:14">
      <c r="L862">
        <v>860</v>
      </c>
      <c r="M862" t="s">
        <v>809</v>
      </c>
      <c r="N862" t="s">
        <v>2142</v>
      </c>
    </row>
    <row r="863" spans="12:14">
      <c r="L863">
        <v>861</v>
      </c>
      <c r="M863" t="s">
        <v>2143</v>
      </c>
      <c r="N863" t="s">
        <v>2144</v>
      </c>
    </row>
    <row r="864" spans="12:14">
      <c r="L864">
        <v>862</v>
      </c>
      <c r="M864" t="s">
        <v>2145</v>
      </c>
      <c r="N864" t="s">
        <v>2144</v>
      </c>
    </row>
    <row r="865" spans="12:14">
      <c r="L865">
        <v>863</v>
      </c>
      <c r="M865" t="s">
        <v>2146</v>
      </c>
      <c r="N865" t="s">
        <v>2147</v>
      </c>
    </row>
    <row r="866" spans="12:14">
      <c r="L866">
        <v>864</v>
      </c>
      <c r="M866" t="s">
        <v>813</v>
      </c>
      <c r="N866" t="s">
        <v>2148</v>
      </c>
    </row>
    <row r="867" spans="12:14">
      <c r="L867">
        <v>865</v>
      </c>
      <c r="M867" t="s">
        <v>2149</v>
      </c>
      <c r="N867" t="s">
        <v>2150</v>
      </c>
    </row>
    <row r="868" spans="12:14">
      <c r="L868">
        <v>866</v>
      </c>
      <c r="M868" t="s">
        <v>2151</v>
      </c>
      <c r="N868" t="s">
        <v>2152</v>
      </c>
    </row>
    <row r="869" spans="12:14">
      <c r="L869">
        <v>867</v>
      </c>
      <c r="M869" t="s">
        <v>817</v>
      </c>
      <c r="N869" t="s">
        <v>2153</v>
      </c>
    </row>
    <row r="870" spans="12:14">
      <c r="L870">
        <v>868</v>
      </c>
      <c r="M870" t="s">
        <v>2154</v>
      </c>
      <c r="N870" t="s">
        <v>2155</v>
      </c>
    </row>
    <row r="871" spans="12:14">
      <c r="L871">
        <v>869</v>
      </c>
      <c r="M871" t="s">
        <v>2156</v>
      </c>
      <c r="N871" t="s">
        <v>2155</v>
      </c>
    </row>
    <row r="872" spans="12:14">
      <c r="L872">
        <v>870</v>
      </c>
      <c r="M872" t="s">
        <v>2157</v>
      </c>
      <c r="N872" t="s">
        <v>2158</v>
      </c>
    </row>
    <row r="873" spans="12:14">
      <c r="L873">
        <v>871</v>
      </c>
      <c r="M873" t="s">
        <v>2159</v>
      </c>
      <c r="N873" t="s">
        <v>2158</v>
      </c>
    </row>
    <row r="874" spans="12:14">
      <c r="L874">
        <v>872</v>
      </c>
      <c r="M874" t="s">
        <v>821</v>
      </c>
      <c r="N874" t="s">
        <v>2160</v>
      </c>
    </row>
    <row r="875" spans="12:14">
      <c r="L875">
        <v>873</v>
      </c>
      <c r="M875" t="s">
        <v>2161</v>
      </c>
      <c r="N875" t="s">
        <v>2162</v>
      </c>
    </row>
    <row r="876" spans="12:14">
      <c r="L876">
        <v>874</v>
      </c>
      <c r="M876" t="s">
        <v>2163</v>
      </c>
      <c r="N876" t="s">
        <v>2164</v>
      </c>
    </row>
    <row r="877" spans="12:14">
      <c r="L877">
        <v>875</v>
      </c>
      <c r="M877" t="s">
        <v>2165</v>
      </c>
      <c r="N877" t="s">
        <v>2164</v>
      </c>
    </row>
    <row r="878" spans="12:14">
      <c r="L878">
        <v>876</v>
      </c>
      <c r="M878" t="s">
        <v>825</v>
      </c>
      <c r="N878" t="s">
        <v>2166</v>
      </c>
    </row>
    <row r="879" spans="12:14">
      <c r="L879">
        <v>877</v>
      </c>
      <c r="M879" t="s">
        <v>2167</v>
      </c>
      <c r="N879" t="s">
        <v>2168</v>
      </c>
    </row>
    <row r="880" spans="12:14">
      <c r="L880">
        <v>878</v>
      </c>
      <c r="M880" t="s">
        <v>2169</v>
      </c>
      <c r="N880" t="s">
        <v>2168</v>
      </c>
    </row>
    <row r="881" spans="12:14">
      <c r="L881">
        <v>879</v>
      </c>
      <c r="M881" t="s">
        <v>830</v>
      </c>
      <c r="N881" t="s">
        <v>2170</v>
      </c>
    </row>
    <row r="882" spans="12:14">
      <c r="L882">
        <v>880</v>
      </c>
      <c r="M882" t="s">
        <v>2171</v>
      </c>
      <c r="N882" t="s">
        <v>2172</v>
      </c>
    </row>
    <row r="883" spans="12:14">
      <c r="L883">
        <v>881</v>
      </c>
      <c r="M883" t="s">
        <v>835</v>
      </c>
      <c r="N883" t="s">
        <v>2173</v>
      </c>
    </row>
    <row r="884" spans="12:14">
      <c r="L884">
        <v>882</v>
      </c>
      <c r="M884" t="s">
        <v>2174</v>
      </c>
      <c r="N884" t="s">
        <v>2175</v>
      </c>
    </row>
    <row r="885" spans="12:14">
      <c r="L885">
        <v>883</v>
      </c>
      <c r="M885" t="s">
        <v>2176</v>
      </c>
      <c r="N885" t="s">
        <v>2177</v>
      </c>
    </row>
    <row r="886" spans="12:14">
      <c r="L886">
        <v>884</v>
      </c>
      <c r="M886" t="s">
        <v>2178</v>
      </c>
      <c r="N886" t="s">
        <v>2177</v>
      </c>
    </row>
    <row r="887" spans="12:14">
      <c r="L887">
        <v>885</v>
      </c>
      <c r="M887" t="s">
        <v>843</v>
      </c>
      <c r="N887" t="s">
        <v>2179</v>
      </c>
    </row>
    <row r="888" spans="12:14">
      <c r="L888">
        <v>886</v>
      </c>
      <c r="M888" t="s">
        <v>2180</v>
      </c>
      <c r="N888" t="s">
        <v>2181</v>
      </c>
    </row>
    <row r="889" spans="12:14">
      <c r="L889">
        <v>887</v>
      </c>
      <c r="M889" t="s">
        <v>2182</v>
      </c>
      <c r="N889" t="s">
        <v>2183</v>
      </c>
    </row>
    <row r="890" spans="12:14">
      <c r="L890">
        <v>888</v>
      </c>
      <c r="M890" t="s">
        <v>2184</v>
      </c>
      <c r="N890" t="s">
        <v>2181</v>
      </c>
    </row>
    <row r="891" spans="12:14">
      <c r="L891">
        <v>889</v>
      </c>
      <c r="M891" t="s">
        <v>2185</v>
      </c>
      <c r="N891" t="s">
        <v>2186</v>
      </c>
    </row>
    <row r="892" spans="12:14">
      <c r="L892">
        <v>890</v>
      </c>
      <c r="M892" t="s">
        <v>2187</v>
      </c>
      <c r="N892" t="s">
        <v>2188</v>
      </c>
    </row>
    <row r="893" spans="12:14">
      <c r="L893">
        <v>891</v>
      </c>
      <c r="M893" t="s">
        <v>854</v>
      </c>
      <c r="N893" t="s">
        <v>2189</v>
      </c>
    </row>
    <row r="894" spans="12:14">
      <c r="L894">
        <v>892</v>
      </c>
      <c r="M894" t="s">
        <v>2190</v>
      </c>
      <c r="N894" t="s">
        <v>2191</v>
      </c>
    </row>
    <row r="895" spans="12:14">
      <c r="L895">
        <v>893</v>
      </c>
      <c r="M895" t="s">
        <v>2192</v>
      </c>
      <c r="N895" t="s">
        <v>2193</v>
      </c>
    </row>
    <row r="896" spans="12:14">
      <c r="L896">
        <v>894</v>
      </c>
      <c r="M896" t="s">
        <v>859</v>
      </c>
      <c r="N896" t="s">
        <v>2194</v>
      </c>
    </row>
    <row r="897" spans="12:14">
      <c r="L897">
        <v>895</v>
      </c>
      <c r="M897" t="s">
        <v>2195</v>
      </c>
      <c r="N897" t="s">
        <v>2196</v>
      </c>
    </row>
    <row r="898" spans="12:14">
      <c r="L898">
        <v>896</v>
      </c>
      <c r="M898" t="s">
        <v>2197</v>
      </c>
      <c r="N898" t="s">
        <v>2198</v>
      </c>
    </row>
    <row r="899" spans="12:14">
      <c r="L899">
        <v>897</v>
      </c>
      <c r="M899" t="s">
        <v>2199</v>
      </c>
      <c r="N899" t="s">
        <v>2200</v>
      </c>
    </row>
    <row r="900" spans="12:14">
      <c r="L900">
        <v>898</v>
      </c>
      <c r="M900" t="s">
        <v>2201</v>
      </c>
      <c r="N900" t="s">
        <v>2202</v>
      </c>
    </row>
    <row r="901" spans="12:14">
      <c r="L901">
        <v>899</v>
      </c>
      <c r="M901" t="s">
        <v>869</v>
      </c>
      <c r="N901" t="s">
        <v>2203</v>
      </c>
    </row>
    <row r="902" spans="12:14">
      <c r="L902">
        <v>900</v>
      </c>
      <c r="M902" t="s">
        <v>2204</v>
      </c>
      <c r="N902" t="s">
        <v>2205</v>
      </c>
    </row>
    <row r="903" spans="12:14">
      <c r="L903">
        <v>901</v>
      </c>
      <c r="M903" t="s">
        <v>2206</v>
      </c>
      <c r="N903" t="s">
        <v>2205</v>
      </c>
    </row>
    <row r="904" spans="12:14">
      <c r="L904">
        <v>902</v>
      </c>
      <c r="M904" t="s">
        <v>874</v>
      </c>
      <c r="N904" t="s">
        <v>2207</v>
      </c>
    </row>
    <row r="905" spans="12:14">
      <c r="L905">
        <v>903</v>
      </c>
      <c r="M905" t="s">
        <v>2208</v>
      </c>
      <c r="N905" t="s">
        <v>2209</v>
      </c>
    </row>
    <row r="906" spans="12:14">
      <c r="L906">
        <v>904</v>
      </c>
      <c r="M906" t="s">
        <v>2210</v>
      </c>
      <c r="N906" t="s">
        <v>2211</v>
      </c>
    </row>
    <row r="907" spans="12:14">
      <c r="L907">
        <v>905</v>
      </c>
      <c r="M907" t="s">
        <v>2212</v>
      </c>
      <c r="N907" t="s">
        <v>2213</v>
      </c>
    </row>
    <row r="908" spans="12:14">
      <c r="L908">
        <v>906</v>
      </c>
      <c r="M908" t="s">
        <v>878</v>
      </c>
      <c r="N908" t="s">
        <v>2214</v>
      </c>
    </row>
    <row r="909" spans="12:14">
      <c r="L909">
        <v>907</v>
      </c>
      <c r="M909" t="s">
        <v>2215</v>
      </c>
      <c r="N909" t="s">
        <v>2216</v>
      </c>
    </row>
    <row r="910" spans="12:14">
      <c r="L910">
        <v>908</v>
      </c>
      <c r="M910" t="s">
        <v>2217</v>
      </c>
      <c r="N910" t="s">
        <v>2216</v>
      </c>
    </row>
    <row r="911" spans="12:14">
      <c r="L911">
        <v>909</v>
      </c>
      <c r="M911" t="s">
        <v>2218</v>
      </c>
      <c r="N911" t="s">
        <v>2219</v>
      </c>
    </row>
    <row r="912" spans="12:14">
      <c r="L912">
        <v>910</v>
      </c>
      <c r="M912" t="s">
        <v>2220</v>
      </c>
      <c r="N912" t="s">
        <v>2219</v>
      </c>
    </row>
    <row r="913" spans="12:14">
      <c r="L913">
        <v>911</v>
      </c>
      <c r="M913" t="s">
        <v>882</v>
      </c>
      <c r="N913" t="s">
        <v>2221</v>
      </c>
    </row>
    <row r="914" spans="12:14">
      <c r="L914">
        <v>912</v>
      </c>
      <c r="M914" t="s">
        <v>2222</v>
      </c>
      <c r="N914" t="s">
        <v>2223</v>
      </c>
    </row>
    <row r="915" spans="12:14">
      <c r="L915">
        <v>913</v>
      </c>
      <c r="M915" t="s">
        <v>2224</v>
      </c>
      <c r="N915" t="s">
        <v>2225</v>
      </c>
    </row>
    <row r="916" spans="12:14">
      <c r="L916">
        <v>914</v>
      </c>
      <c r="M916" t="s">
        <v>887</v>
      </c>
      <c r="N916" t="s">
        <v>2226</v>
      </c>
    </row>
    <row r="917" spans="12:14">
      <c r="L917">
        <v>915</v>
      </c>
      <c r="M917" t="s">
        <v>2227</v>
      </c>
      <c r="N917" t="s">
        <v>2228</v>
      </c>
    </row>
    <row r="918" spans="12:14">
      <c r="L918">
        <v>916</v>
      </c>
      <c r="M918" t="s">
        <v>2229</v>
      </c>
      <c r="N918" t="s">
        <v>2230</v>
      </c>
    </row>
    <row r="919" spans="12:14">
      <c r="L919">
        <v>917</v>
      </c>
      <c r="M919" t="s">
        <v>892</v>
      </c>
      <c r="N919" t="s">
        <v>2231</v>
      </c>
    </row>
    <row r="920" spans="12:14">
      <c r="L920">
        <v>918</v>
      </c>
      <c r="M920" t="s">
        <v>2232</v>
      </c>
      <c r="N920" t="s">
        <v>2233</v>
      </c>
    </row>
    <row r="921" spans="12:14">
      <c r="L921">
        <v>919</v>
      </c>
      <c r="M921" t="s">
        <v>897</v>
      </c>
      <c r="N921" t="s">
        <v>2097</v>
      </c>
    </row>
    <row r="922" spans="12:14">
      <c r="L922">
        <v>920</v>
      </c>
      <c r="M922" t="s">
        <v>2234</v>
      </c>
      <c r="N922" t="s">
        <v>2235</v>
      </c>
    </row>
    <row r="923" spans="12:14">
      <c r="L923">
        <v>921</v>
      </c>
      <c r="M923" t="s">
        <v>2236</v>
      </c>
      <c r="N923" t="s">
        <v>2237</v>
      </c>
    </row>
    <row r="924" spans="12:14">
      <c r="L924">
        <v>922</v>
      </c>
      <c r="M924" t="s">
        <v>901</v>
      </c>
      <c r="N924" t="s">
        <v>2238</v>
      </c>
    </row>
    <row r="925" spans="12:14">
      <c r="L925">
        <v>923</v>
      </c>
      <c r="M925" t="s">
        <v>2239</v>
      </c>
      <c r="N925" t="s">
        <v>2240</v>
      </c>
    </row>
    <row r="926" spans="12:14">
      <c r="L926">
        <v>924</v>
      </c>
      <c r="M926" t="s">
        <v>2241</v>
      </c>
      <c r="N926" t="s">
        <v>2242</v>
      </c>
    </row>
    <row r="927" spans="12:14">
      <c r="L927">
        <v>925</v>
      </c>
      <c r="M927" t="s">
        <v>906</v>
      </c>
      <c r="N927" t="s">
        <v>2243</v>
      </c>
    </row>
    <row r="928" spans="12:14">
      <c r="L928">
        <v>926</v>
      </c>
      <c r="M928" t="s">
        <v>2244</v>
      </c>
      <c r="N928" t="s">
        <v>2245</v>
      </c>
    </row>
    <row r="929" spans="12:14">
      <c r="L929">
        <v>927</v>
      </c>
      <c r="M929" t="s">
        <v>911</v>
      </c>
      <c r="N929" t="s">
        <v>2246</v>
      </c>
    </row>
    <row r="930" spans="12:14">
      <c r="L930">
        <v>928</v>
      </c>
      <c r="M930" t="s">
        <v>2247</v>
      </c>
      <c r="N930" t="s">
        <v>2248</v>
      </c>
    </row>
    <row r="931" spans="12:14">
      <c r="L931">
        <v>929</v>
      </c>
      <c r="M931" t="s">
        <v>2249</v>
      </c>
      <c r="N931" t="s">
        <v>2248</v>
      </c>
    </row>
    <row r="932" spans="12:14">
      <c r="L932">
        <v>930</v>
      </c>
      <c r="M932" t="s">
        <v>915</v>
      </c>
      <c r="N932" t="s">
        <v>2250</v>
      </c>
    </row>
    <row r="933" spans="12:14">
      <c r="L933">
        <v>931</v>
      </c>
      <c r="M933" t="s">
        <v>2251</v>
      </c>
      <c r="N933" t="s">
        <v>2252</v>
      </c>
    </row>
    <row r="934" spans="12:14">
      <c r="L934">
        <v>932</v>
      </c>
      <c r="M934" t="s">
        <v>2253</v>
      </c>
      <c r="N934" t="s">
        <v>2252</v>
      </c>
    </row>
    <row r="935" spans="12:14">
      <c r="L935">
        <v>933</v>
      </c>
      <c r="M935" t="s">
        <v>919</v>
      </c>
      <c r="N935" t="s">
        <v>2254</v>
      </c>
    </row>
    <row r="936" spans="12:14">
      <c r="L936">
        <v>934</v>
      </c>
      <c r="M936" t="s">
        <v>2255</v>
      </c>
      <c r="N936" t="s">
        <v>2256</v>
      </c>
    </row>
    <row r="937" spans="12:14">
      <c r="L937">
        <v>935</v>
      </c>
      <c r="M937" t="s">
        <v>2257</v>
      </c>
      <c r="N937" t="s">
        <v>2256</v>
      </c>
    </row>
    <row r="938" spans="12:14">
      <c r="L938">
        <v>936</v>
      </c>
      <c r="M938" t="s">
        <v>923</v>
      </c>
      <c r="N938" t="s">
        <v>2258</v>
      </c>
    </row>
    <row r="939" spans="12:14">
      <c r="L939">
        <v>937</v>
      </c>
      <c r="M939" t="s">
        <v>2259</v>
      </c>
      <c r="N939" t="s">
        <v>2260</v>
      </c>
    </row>
    <row r="940" spans="12:14">
      <c r="L940">
        <v>938</v>
      </c>
      <c r="M940" t="s">
        <v>927</v>
      </c>
      <c r="N940" t="s">
        <v>2261</v>
      </c>
    </row>
    <row r="941" spans="12:14">
      <c r="L941">
        <v>939</v>
      </c>
      <c r="M941" t="s">
        <v>2262</v>
      </c>
      <c r="N941" t="s">
        <v>2263</v>
      </c>
    </row>
    <row r="942" spans="12:14">
      <c r="L942">
        <v>940</v>
      </c>
      <c r="M942" t="s">
        <v>932</v>
      </c>
      <c r="N942" t="s">
        <v>2264</v>
      </c>
    </row>
    <row r="943" spans="12:14">
      <c r="L943">
        <v>941</v>
      </c>
      <c r="M943" t="s">
        <v>2265</v>
      </c>
      <c r="N943" t="s">
        <v>2266</v>
      </c>
    </row>
    <row r="944" spans="12:14">
      <c r="L944">
        <v>942</v>
      </c>
      <c r="M944" t="s">
        <v>936</v>
      </c>
      <c r="N944" t="s">
        <v>2267</v>
      </c>
    </row>
    <row r="945" spans="12:14">
      <c r="L945">
        <v>943</v>
      </c>
      <c r="M945" t="s">
        <v>2268</v>
      </c>
      <c r="N945" t="s">
        <v>2269</v>
      </c>
    </row>
    <row r="946" spans="12:14">
      <c r="L946">
        <v>944</v>
      </c>
      <c r="M946" t="s">
        <v>940</v>
      </c>
      <c r="N946" t="s">
        <v>2270</v>
      </c>
    </row>
    <row r="947" spans="12:14">
      <c r="L947">
        <v>945</v>
      </c>
      <c r="M947" t="s">
        <v>2271</v>
      </c>
      <c r="N947" t="s">
        <v>2272</v>
      </c>
    </row>
    <row r="948" spans="12:14">
      <c r="L948">
        <v>946</v>
      </c>
      <c r="M948" t="s">
        <v>945</v>
      </c>
      <c r="N948" t="s">
        <v>2270</v>
      </c>
    </row>
    <row r="949" spans="12:14">
      <c r="L949">
        <v>947</v>
      </c>
      <c r="M949" t="s">
        <v>2273</v>
      </c>
      <c r="N949" t="s">
        <v>2274</v>
      </c>
    </row>
    <row r="950" spans="12:14">
      <c r="L950">
        <v>948</v>
      </c>
      <c r="M950" t="s">
        <v>949</v>
      </c>
      <c r="N950" t="s">
        <v>2275</v>
      </c>
    </row>
    <row r="951" spans="12:14">
      <c r="L951">
        <v>949</v>
      </c>
      <c r="M951" t="s">
        <v>2276</v>
      </c>
      <c r="N951" t="s">
        <v>2277</v>
      </c>
    </row>
    <row r="952" spans="12:14">
      <c r="L952">
        <v>950</v>
      </c>
      <c r="M952" t="s">
        <v>2278</v>
      </c>
      <c r="N952" t="s">
        <v>2279</v>
      </c>
    </row>
    <row r="953" spans="12:14">
      <c r="L953">
        <v>951</v>
      </c>
      <c r="M953" t="s">
        <v>2280</v>
      </c>
      <c r="N953" t="s">
        <v>2277</v>
      </c>
    </row>
    <row r="954" spans="12:14">
      <c r="L954">
        <v>952</v>
      </c>
      <c r="M954" t="s">
        <v>2281</v>
      </c>
      <c r="N954" t="s">
        <v>2279</v>
      </c>
    </row>
    <row r="955" spans="12:14">
      <c r="L955">
        <v>953</v>
      </c>
      <c r="M955" t="s">
        <v>954</v>
      </c>
      <c r="N955" t="s">
        <v>2282</v>
      </c>
    </row>
    <row r="956" spans="12:14">
      <c r="L956">
        <v>954</v>
      </c>
      <c r="M956" t="s">
        <v>2283</v>
      </c>
      <c r="N956" t="s">
        <v>2284</v>
      </c>
    </row>
    <row r="957" spans="12:14">
      <c r="L957">
        <v>955</v>
      </c>
      <c r="M957" t="s">
        <v>958</v>
      </c>
      <c r="N957" t="s">
        <v>2267</v>
      </c>
    </row>
    <row r="958" spans="12:14">
      <c r="L958">
        <v>956</v>
      </c>
      <c r="M958" t="s">
        <v>2285</v>
      </c>
      <c r="N958" t="s">
        <v>2286</v>
      </c>
    </row>
    <row r="959" spans="12:14">
      <c r="L959">
        <v>957</v>
      </c>
      <c r="M959" t="s">
        <v>962</v>
      </c>
      <c r="N959" t="s">
        <v>2287</v>
      </c>
    </row>
    <row r="960" spans="12:14">
      <c r="L960">
        <v>958</v>
      </c>
      <c r="M960" t="s">
        <v>2288</v>
      </c>
      <c r="N960" t="s">
        <v>2289</v>
      </c>
    </row>
    <row r="961" spans="12:14">
      <c r="L961">
        <v>959</v>
      </c>
      <c r="M961" t="s">
        <v>966</v>
      </c>
      <c r="N961" t="s">
        <v>2290</v>
      </c>
    </row>
    <row r="962" spans="12:14">
      <c r="L962">
        <v>960</v>
      </c>
      <c r="M962" t="s">
        <v>2291</v>
      </c>
      <c r="N962" t="s">
        <v>2292</v>
      </c>
    </row>
    <row r="963" spans="12:14">
      <c r="L963">
        <v>961</v>
      </c>
      <c r="M963" t="s">
        <v>971</v>
      </c>
      <c r="N963" t="s">
        <v>2293</v>
      </c>
    </row>
    <row r="964" spans="12:14">
      <c r="L964">
        <v>962</v>
      </c>
      <c r="M964" t="s">
        <v>2294</v>
      </c>
      <c r="N964" t="s">
        <v>2295</v>
      </c>
    </row>
    <row r="965" spans="12:14">
      <c r="L965">
        <v>963</v>
      </c>
      <c r="M965" t="s">
        <v>975</v>
      </c>
      <c r="N965" t="s">
        <v>2296</v>
      </c>
    </row>
    <row r="966" spans="12:14">
      <c r="L966">
        <v>964</v>
      </c>
      <c r="M966" t="s">
        <v>2297</v>
      </c>
      <c r="N966" t="s">
        <v>2298</v>
      </c>
    </row>
    <row r="967" spans="12:14">
      <c r="L967">
        <v>965</v>
      </c>
      <c r="M967" t="s">
        <v>980</v>
      </c>
      <c r="N967" t="s">
        <v>2299</v>
      </c>
    </row>
    <row r="968" spans="12:14">
      <c r="L968">
        <v>966</v>
      </c>
      <c r="M968" t="s">
        <v>2300</v>
      </c>
      <c r="N968" t="s">
        <v>2301</v>
      </c>
    </row>
    <row r="969" spans="12:14">
      <c r="L969">
        <v>967</v>
      </c>
      <c r="M969" t="s">
        <v>985</v>
      </c>
      <c r="N969" t="s">
        <v>2302</v>
      </c>
    </row>
    <row r="970" spans="12:14">
      <c r="L970">
        <v>968</v>
      </c>
      <c r="M970" t="s">
        <v>2303</v>
      </c>
      <c r="N970" t="s">
        <v>2304</v>
      </c>
    </row>
    <row r="971" spans="12:14">
      <c r="L971">
        <v>969</v>
      </c>
      <c r="M971" t="s">
        <v>989</v>
      </c>
      <c r="N971" t="s">
        <v>2305</v>
      </c>
    </row>
    <row r="972" spans="12:14">
      <c r="L972">
        <v>970</v>
      </c>
      <c r="M972" t="s">
        <v>2306</v>
      </c>
      <c r="N972" t="s">
        <v>2307</v>
      </c>
    </row>
    <row r="973" spans="12:14">
      <c r="L973">
        <v>971</v>
      </c>
      <c r="M973" t="s">
        <v>993</v>
      </c>
      <c r="N973" t="s">
        <v>2308</v>
      </c>
    </row>
    <row r="974" spans="12:14">
      <c r="L974">
        <v>972</v>
      </c>
      <c r="M974" t="s">
        <v>2309</v>
      </c>
      <c r="N974" t="s">
        <v>2310</v>
      </c>
    </row>
    <row r="975" spans="12:14">
      <c r="L975">
        <v>973</v>
      </c>
      <c r="M975" t="s">
        <v>997</v>
      </c>
      <c r="N975" t="s">
        <v>2311</v>
      </c>
    </row>
    <row r="976" spans="12:14">
      <c r="L976">
        <v>974</v>
      </c>
      <c r="M976" t="s">
        <v>2312</v>
      </c>
      <c r="N976" t="s">
        <v>2313</v>
      </c>
    </row>
    <row r="977" spans="12:14">
      <c r="L977">
        <v>975</v>
      </c>
      <c r="M977" t="s">
        <v>1001</v>
      </c>
      <c r="N977" t="s">
        <v>2314</v>
      </c>
    </row>
    <row r="978" spans="12:14">
      <c r="L978">
        <v>976</v>
      </c>
      <c r="M978" t="s">
        <v>2315</v>
      </c>
      <c r="N978" t="s">
        <v>2316</v>
      </c>
    </row>
    <row r="979" spans="12:14">
      <c r="L979">
        <v>977</v>
      </c>
      <c r="M979" t="s">
        <v>2317</v>
      </c>
      <c r="N979" t="s">
        <v>2316</v>
      </c>
    </row>
    <row r="980" spans="12:14">
      <c r="L980">
        <v>978</v>
      </c>
      <c r="M980" t="s">
        <v>1006</v>
      </c>
      <c r="N980" t="s">
        <v>2318</v>
      </c>
    </row>
    <row r="981" spans="12:14">
      <c r="L981">
        <v>979</v>
      </c>
      <c r="M981" t="s">
        <v>2319</v>
      </c>
      <c r="N981" t="s">
        <v>2320</v>
      </c>
    </row>
    <row r="982" spans="12:14">
      <c r="L982">
        <v>980</v>
      </c>
      <c r="M982" t="s">
        <v>2321</v>
      </c>
      <c r="N982" t="s">
        <v>2320</v>
      </c>
    </row>
    <row r="983" spans="12:14">
      <c r="L983">
        <v>981</v>
      </c>
      <c r="M983" t="s">
        <v>1011</v>
      </c>
      <c r="N983" t="s">
        <v>2302</v>
      </c>
    </row>
    <row r="984" spans="12:14">
      <c r="L984">
        <v>982</v>
      </c>
      <c r="M984" t="s">
        <v>2322</v>
      </c>
      <c r="N984" t="s">
        <v>2323</v>
      </c>
    </row>
    <row r="985" spans="12:14">
      <c r="L985">
        <v>983</v>
      </c>
      <c r="M985" t="s">
        <v>2324</v>
      </c>
      <c r="N985" t="s">
        <v>2325</v>
      </c>
    </row>
    <row r="986" spans="12:14">
      <c r="L986">
        <v>984</v>
      </c>
      <c r="M986" t="s">
        <v>1019</v>
      </c>
      <c r="N986" t="s">
        <v>2326</v>
      </c>
    </row>
    <row r="987" spans="12:14">
      <c r="L987">
        <v>985</v>
      </c>
      <c r="M987" t="s">
        <v>2327</v>
      </c>
      <c r="N987" t="s">
        <v>2328</v>
      </c>
    </row>
    <row r="988" spans="12:14">
      <c r="L988">
        <v>986</v>
      </c>
      <c r="M988" t="s">
        <v>1023</v>
      </c>
      <c r="N988" t="s">
        <v>2329</v>
      </c>
    </row>
    <row r="989" spans="12:14">
      <c r="L989">
        <v>987</v>
      </c>
      <c r="M989" t="s">
        <v>2330</v>
      </c>
      <c r="N989" t="s">
        <v>2331</v>
      </c>
    </row>
    <row r="990" spans="12:14">
      <c r="L990">
        <v>988</v>
      </c>
      <c r="M990" t="s">
        <v>1028</v>
      </c>
      <c r="N990" t="s">
        <v>2332</v>
      </c>
    </row>
    <row r="991" spans="12:14">
      <c r="L991">
        <v>989</v>
      </c>
      <c r="M991" t="s">
        <v>2333</v>
      </c>
      <c r="N991" t="s">
        <v>2334</v>
      </c>
    </row>
    <row r="992" spans="12:14">
      <c r="L992">
        <v>990</v>
      </c>
      <c r="M992" t="s">
        <v>1033</v>
      </c>
      <c r="N992" t="s">
        <v>2335</v>
      </c>
    </row>
    <row r="993" spans="12:14">
      <c r="L993">
        <v>991</v>
      </c>
      <c r="M993" t="s">
        <v>2336</v>
      </c>
      <c r="N993" t="s">
        <v>1486</v>
      </c>
    </row>
    <row r="994" spans="12:14">
      <c r="L994">
        <v>992</v>
      </c>
      <c r="M994" t="s">
        <v>2337</v>
      </c>
      <c r="N994" t="s">
        <v>1486</v>
      </c>
    </row>
    <row r="995" spans="12:14">
      <c r="L995">
        <v>993</v>
      </c>
      <c r="M995" t="s">
        <v>1037</v>
      </c>
      <c r="N995" t="s">
        <v>2338</v>
      </c>
    </row>
    <row r="996" spans="12:14">
      <c r="L996">
        <v>994</v>
      </c>
      <c r="M996" t="s">
        <v>2339</v>
      </c>
      <c r="N996" t="s">
        <v>2340</v>
      </c>
    </row>
    <row r="997" spans="12:14">
      <c r="L997">
        <v>995</v>
      </c>
      <c r="M997" t="s">
        <v>1041</v>
      </c>
      <c r="N997" t="s">
        <v>2341</v>
      </c>
    </row>
    <row r="998" spans="12:14">
      <c r="L998">
        <v>996</v>
      </c>
      <c r="M998" t="s">
        <v>2342</v>
      </c>
      <c r="N998" t="s">
        <v>2343</v>
      </c>
    </row>
    <row r="999" spans="12:14">
      <c r="L999">
        <v>997</v>
      </c>
      <c r="M999" t="s">
        <v>1045</v>
      </c>
      <c r="N999" t="s">
        <v>2344</v>
      </c>
    </row>
    <row r="1000" spans="12:14">
      <c r="L1000">
        <v>998</v>
      </c>
      <c r="M1000" t="s">
        <v>2345</v>
      </c>
      <c r="N1000" t="s">
        <v>2346</v>
      </c>
    </row>
    <row r="1001" spans="12:14">
      <c r="L1001">
        <v>999</v>
      </c>
      <c r="M1001" t="s">
        <v>1049</v>
      </c>
      <c r="N1001" t="s">
        <v>2344</v>
      </c>
    </row>
    <row r="1002" spans="12:14">
      <c r="L1002">
        <v>1000</v>
      </c>
      <c r="M1002" t="s">
        <v>2347</v>
      </c>
      <c r="N1002" t="s">
        <v>2348</v>
      </c>
    </row>
    <row r="1003" spans="12:14">
      <c r="L1003">
        <v>1001</v>
      </c>
      <c r="M1003" t="s">
        <v>1054</v>
      </c>
      <c r="N1003" t="s">
        <v>2349</v>
      </c>
    </row>
    <row r="1004" spans="12:14">
      <c r="L1004">
        <v>1002</v>
      </c>
      <c r="M1004" t="s">
        <v>2350</v>
      </c>
      <c r="N1004" t="s">
        <v>2351</v>
      </c>
    </row>
    <row r="1005" spans="12:14">
      <c r="L1005">
        <v>1003</v>
      </c>
      <c r="M1005" t="s">
        <v>2352</v>
      </c>
      <c r="N1005" t="s">
        <v>2351</v>
      </c>
    </row>
    <row r="1006" spans="12:14">
      <c r="L1006">
        <v>1004</v>
      </c>
      <c r="M1006" t="s">
        <v>1058</v>
      </c>
      <c r="N1006" t="s">
        <v>2349</v>
      </c>
    </row>
    <row r="1007" spans="12:14">
      <c r="L1007">
        <v>1005</v>
      </c>
      <c r="M1007" t="s">
        <v>2353</v>
      </c>
      <c r="N1007" t="s">
        <v>2354</v>
      </c>
    </row>
    <row r="1008" spans="12:14">
      <c r="L1008">
        <v>1006</v>
      </c>
      <c r="M1008" t="s">
        <v>2355</v>
      </c>
      <c r="N1008" t="s">
        <v>2354</v>
      </c>
    </row>
    <row r="1009" spans="12:14">
      <c r="L1009">
        <v>1007</v>
      </c>
      <c r="M1009" t="s">
        <v>1062</v>
      </c>
      <c r="N1009" t="s">
        <v>2356</v>
      </c>
    </row>
    <row r="1010" spans="12:14">
      <c r="L1010">
        <v>1008</v>
      </c>
      <c r="M1010" t="s">
        <v>2357</v>
      </c>
      <c r="N1010" t="s">
        <v>2358</v>
      </c>
    </row>
    <row r="1011" spans="12:14">
      <c r="L1011">
        <v>1009</v>
      </c>
      <c r="M1011" t="s">
        <v>2359</v>
      </c>
      <c r="N1011" t="s">
        <v>2358</v>
      </c>
    </row>
    <row r="1012" spans="12:14">
      <c r="L1012">
        <v>1010</v>
      </c>
      <c r="M1012" t="s">
        <v>1066</v>
      </c>
      <c r="N1012" t="s">
        <v>2356</v>
      </c>
    </row>
    <row r="1013" spans="12:14">
      <c r="L1013">
        <v>1011</v>
      </c>
      <c r="M1013" t="s">
        <v>2360</v>
      </c>
      <c r="N1013" t="s">
        <v>2361</v>
      </c>
    </row>
    <row r="1014" spans="12:14">
      <c r="L1014">
        <v>1012</v>
      </c>
      <c r="M1014" t="s">
        <v>2362</v>
      </c>
      <c r="N1014" t="s">
        <v>2361</v>
      </c>
    </row>
    <row r="1015" spans="12:14">
      <c r="L1015">
        <v>1013</v>
      </c>
      <c r="M1015" t="s">
        <v>1070</v>
      </c>
      <c r="N1015" t="s">
        <v>2363</v>
      </c>
    </row>
    <row r="1016" spans="12:14">
      <c r="L1016">
        <v>1014</v>
      </c>
      <c r="M1016" t="s">
        <v>2364</v>
      </c>
      <c r="N1016" t="s">
        <v>2365</v>
      </c>
    </row>
    <row r="1017" spans="12:14">
      <c r="L1017">
        <v>1015</v>
      </c>
      <c r="M1017" t="s">
        <v>2366</v>
      </c>
      <c r="N1017" t="s">
        <v>2365</v>
      </c>
    </row>
    <row r="1018" spans="12:14">
      <c r="L1018">
        <v>1016</v>
      </c>
      <c r="M1018" t="s">
        <v>2367</v>
      </c>
      <c r="N1018" t="s">
        <v>2365</v>
      </c>
    </row>
    <row r="1019" spans="12:14">
      <c r="L1019">
        <v>1017</v>
      </c>
      <c r="M1019" t="s">
        <v>2368</v>
      </c>
      <c r="N1019" t="s">
        <v>2369</v>
      </c>
    </row>
    <row r="1020" spans="12:14">
      <c r="L1020">
        <v>1018</v>
      </c>
      <c r="M1020" t="s">
        <v>1075</v>
      </c>
      <c r="N1020" t="s">
        <v>2370</v>
      </c>
    </row>
    <row r="1021" spans="12:14">
      <c r="L1021">
        <v>1019</v>
      </c>
      <c r="M1021" t="s">
        <v>2371</v>
      </c>
      <c r="N1021" t="s">
        <v>2372</v>
      </c>
    </row>
    <row r="1022" spans="12:14">
      <c r="L1022">
        <v>1020</v>
      </c>
      <c r="M1022" t="s">
        <v>1079</v>
      </c>
      <c r="N1022" t="s">
        <v>2373</v>
      </c>
    </row>
    <row r="1023" spans="12:14">
      <c r="L1023">
        <v>1021</v>
      </c>
      <c r="M1023" t="s">
        <v>2374</v>
      </c>
      <c r="N1023" t="s">
        <v>2375</v>
      </c>
    </row>
    <row r="1024" spans="12:14">
      <c r="L1024">
        <v>1022</v>
      </c>
      <c r="M1024" t="s">
        <v>1083</v>
      </c>
      <c r="N1024" t="s">
        <v>2014</v>
      </c>
    </row>
    <row r="1025" spans="12:14">
      <c r="L1025">
        <v>1023</v>
      </c>
      <c r="M1025" t="s">
        <v>2376</v>
      </c>
      <c r="N1025" t="s">
        <v>2377</v>
      </c>
    </row>
    <row r="1026" spans="12:14">
      <c r="L1026">
        <v>1024</v>
      </c>
      <c r="M1026" t="s">
        <v>2378</v>
      </c>
      <c r="N1026" t="s">
        <v>2377</v>
      </c>
    </row>
    <row r="1027" spans="12:14">
      <c r="L1027">
        <v>1025</v>
      </c>
      <c r="M1027" t="s">
        <v>1087</v>
      </c>
      <c r="N1027" t="s">
        <v>2379</v>
      </c>
    </row>
    <row r="1028" spans="12:14">
      <c r="L1028">
        <v>1026</v>
      </c>
      <c r="M1028" t="s">
        <v>2380</v>
      </c>
      <c r="N1028" t="s">
        <v>2381</v>
      </c>
    </row>
    <row r="1029" spans="12:14">
      <c r="L1029">
        <v>1027</v>
      </c>
      <c r="M1029" t="s">
        <v>1091</v>
      </c>
      <c r="N1029" t="s">
        <v>1537</v>
      </c>
    </row>
    <row r="1030" spans="12:14">
      <c r="L1030">
        <v>1028</v>
      </c>
      <c r="M1030" t="s">
        <v>2382</v>
      </c>
      <c r="N1030" t="s">
        <v>2383</v>
      </c>
    </row>
    <row r="1031" spans="12:14">
      <c r="L1031">
        <v>1029</v>
      </c>
      <c r="M1031" t="s">
        <v>1095</v>
      </c>
      <c r="N1031" t="s">
        <v>1732</v>
      </c>
    </row>
    <row r="1032" spans="12:14">
      <c r="L1032">
        <v>1030</v>
      </c>
      <c r="M1032" t="s">
        <v>2384</v>
      </c>
      <c r="N1032" t="s">
        <v>2385</v>
      </c>
    </row>
    <row r="1033" spans="12:14">
      <c r="L1033">
        <v>1031</v>
      </c>
      <c r="M1033" t="s">
        <v>1100</v>
      </c>
      <c r="N1033" t="s">
        <v>2102</v>
      </c>
    </row>
    <row r="1034" spans="12:14">
      <c r="L1034">
        <v>1032</v>
      </c>
      <c r="M1034" t="s">
        <v>2386</v>
      </c>
      <c r="N1034" t="s">
        <v>2387</v>
      </c>
    </row>
    <row r="1035" spans="12:14">
      <c r="L1035">
        <v>1033</v>
      </c>
      <c r="M1035" t="s">
        <v>1104</v>
      </c>
      <c r="N1035" t="s">
        <v>1953</v>
      </c>
    </row>
    <row r="1036" spans="12:14">
      <c r="L1036">
        <v>1034</v>
      </c>
      <c r="M1036" t="s">
        <v>2388</v>
      </c>
      <c r="N1036" t="s">
        <v>2389</v>
      </c>
    </row>
    <row r="1037" spans="12:14">
      <c r="L1037">
        <v>1035</v>
      </c>
      <c r="M1037" t="s">
        <v>1108</v>
      </c>
      <c r="N1037" t="s">
        <v>2390</v>
      </c>
    </row>
    <row r="1038" spans="12:14">
      <c r="L1038">
        <v>1036</v>
      </c>
      <c r="M1038" t="s">
        <v>2391</v>
      </c>
      <c r="N1038" t="s">
        <v>2392</v>
      </c>
    </row>
    <row r="1039" spans="12:14">
      <c r="L1039">
        <v>1037</v>
      </c>
      <c r="M1039" t="s">
        <v>1112</v>
      </c>
      <c r="N1039" t="s">
        <v>2393</v>
      </c>
    </row>
    <row r="1040" spans="12:14">
      <c r="L1040">
        <v>1038</v>
      </c>
      <c r="M1040" t="s">
        <v>2394</v>
      </c>
      <c r="N1040" t="s">
        <v>2395</v>
      </c>
    </row>
    <row r="1041" spans="12:14">
      <c r="L1041">
        <v>1039</v>
      </c>
      <c r="M1041" t="s">
        <v>1116</v>
      </c>
      <c r="N1041" t="s">
        <v>1436</v>
      </c>
    </row>
    <row r="1042" spans="12:14">
      <c r="L1042">
        <v>1040</v>
      </c>
      <c r="M1042" t="s">
        <v>2396</v>
      </c>
      <c r="N1042" t="s">
        <v>2397</v>
      </c>
    </row>
    <row r="1043" spans="12:14">
      <c r="L1043">
        <v>1041</v>
      </c>
      <c r="M1043" t="s">
        <v>2398</v>
      </c>
      <c r="N1043" t="s">
        <v>2397</v>
      </c>
    </row>
    <row r="1044" spans="12:14">
      <c r="L1044">
        <v>1042</v>
      </c>
      <c r="M1044" t="s">
        <v>1120</v>
      </c>
      <c r="N1044" t="s">
        <v>2173</v>
      </c>
    </row>
    <row r="1045" spans="12:14">
      <c r="L1045">
        <v>1043</v>
      </c>
      <c r="M1045" t="s">
        <v>2399</v>
      </c>
      <c r="N1045" t="s">
        <v>2400</v>
      </c>
    </row>
    <row r="1046" spans="12:14">
      <c r="L1046">
        <v>1044</v>
      </c>
      <c r="M1046" t="s">
        <v>1124</v>
      </c>
      <c r="N1046" t="s">
        <v>2401</v>
      </c>
    </row>
    <row r="1047" spans="12:14">
      <c r="L1047">
        <v>1045</v>
      </c>
      <c r="M1047" t="s">
        <v>2402</v>
      </c>
      <c r="N1047" t="s">
        <v>2403</v>
      </c>
    </row>
    <row r="1048" spans="12:14">
      <c r="L1048">
        <v>1046</v>
      </c>
      <c r="M1048" t="s">
        <v>2404</v>
      </c>
      <c r="N1048" t="s">
        <v>2403</v>
      </c>
    </row>
    <row r="1049" spans="12:14">
      <c r="L1049">
        <v>1047</v>
      </c>
      <c r="M1049" t="s">
        <v>1133</v>
      </c>
      <c r="N1049" t="s">
        <v>2405</v>
      </c>
    </row>
    <row r="1050" spans="12:14">
      <c r="L1050">
        <v>1048</v>
      </c>
      <c r="M1050" t="s">
        <v>2406</v>
      </c>
      <c r="N1050" t="s">
        <v>2407</v>
      </c>
    </row>
    <row r="1051" spans="12:14">
      <c r="L1051">
        <v>1049</v>
      </c>
      <c r="M1051" t="s">
        <v>1142</v>
      </c>
      <c r="N1051" t="s">
        <v>2408</v>
      </c>
    </row>
    <row r="1052" spans="12:14">
      <c r="L1052">
        <v>1050</v>
      </c>
      <c r="M1052" t="s">
        <v>2409</v>
      </c>
      <c r="N1052" t="s">
        <v>2410</v>
      </c>
    </row>
    <row r="1053" spans="12:14">
      <c r="L1053">
        <v>1051</v>
      </c>
      <c r="M1053" t="s">
        <v>1146</v>
      </c>
      <c r="N1053" t="s">
        <v>2411</v>
      </c>
    </row>
    <row r="1054" spans="12:14">
      <c r="L1054">
        <v>1052</v>
      </c>
      <c r="M1054" t="s">
        <v>2412</v>
      </c>
      <c r="N1054" t="s">
        <v>2413</v>
      </c>
    </row>
    <row r="1055" spans="12:14">
      <c r="L1055">
        <v>1053</v>
      </c>
      <c r="M1055" t="s">
        <v>1150</v>
      </c>
      <c r="N1055" t="s">
        <v>2018</v>
      </c>
    </row>
    <row r="1056" spans="12:14">
      <c r="L1056">
        <v>1054</v>
      </c>
      <c r="M1056" t="s">
        <v>2414</v>
      </c>
      <c r="N1056" t="s">
        <v>2415</v>
      </c>
    </row>
    <row r="1057" spans="12:14">
      <c r="L1057">
        <v>1055</v>
      </c>
      <c r="M1057" t="s">
        <v>2416</v>
      </c>
      <c r="N1057" t="s">
        <v>2417</v>
      </c>
    </row>
    <row r="1058" spans="12:14">
      <c r="L1058">
        <v>1056</v>
      </c>
      <c r="M1058" t="s">
        <v>2418</v>
      </c>
      <c r="N1058" t="s">
        <v>2419</v>
      </c>
    </row>
    <row r="1059" spans="12:14">
      <c r="L1059">
        <v>1057</v>
      </c>
      <c r="M1059" t="s">
        <v>2420</v>
      </c>
      <c r="N1059" t="s">
        <v>2421</v>
      </c>
    </row>
    <row r="1060" spans="12:14">
      <c r="L1060">
        <v>1058</v>
      </c>
      <c r="M1060" t="s">
        <v>2422</v>
      </c>
      <c r="N1060" t="s">
        <v>2423</v>
      </c>
    </row>
    <row r="1061" spans="12:14">
      <c r="L1061">
        <v>1059</v>
      </c>
      <c r="M1061" t="s">
        <v>2424</v>
      </c>
      <c r="N1061" t="s">
        <v>2425</v>
      </c>
    </row>
    <row r="1062" spans="12:14">
      <c r="L1062">
        <v>1060</v>
      </c>
      <c r="M1062" t="s">
        <v>2426</v>
      </c>
      <c r="N1062" t="s">
        <v>2427</v>
      </c>
    </row>
    <row r="1063" spans="12:14">
      <c r="L1063">
        <v>1061</v>
      </c>
      <c r="M1063" t="s">
        <v>2428</v>
      </c>
      <c r="N1063" t="s">
        <v>2429</v>
      </c>
    </row>
    <row r="1064" spans="12:14">
      <c r="L1064">
        <v>1062</v>
      </c>
      <c r="M1064" t="s">
        <v>2430</v>
      </c>
      <c r="N1064" t="s">
        <v>2431</v>
      </c>
    </row>
    <row r="1065" spans="12:14">
      <c r="L1065">
        <v>1063</v>
      </c>
      <c r="M1065" t="s">
        <v>2432</v>
      </c>
      <c r="N1065" t="s">
        <v>2433</v>
      </c>
    </row>
    <row r="1066" spans="12:14">
      <c r="L1066">
        <v>1064</v>
      </c>
      <c r="M1066" t="s">
        <v>2434</v>
      </c>
      <c r="N1066" t="s">
        <v>2435</v>
      </c>
    </row>
    <row r="1067" spans="12:14">
      <c r="L1067">
        <v>1065</v>
      </c>
      <c r="M1067" t="s">
        <v>2436</v>
      </c>
      <c r="N1067" t="s">
        <v>2435</v>
      </c>
    </row>
    <row r="1068" spans="12:14">
      <c r="L1068">
        <v>1066</v>
      </c>
      <c r="M1068" t="s">
        <v>2437</v>
      </c>
      <c r="N1068" t="s">
        <v>2438</v>
      </c>
    </row>
    <row r="1069" spans="12:14">
      <c r="L1069">
        <v>1067</v>
      </c>
      <c r="M1069" t="s">
        <v>2439</v>
      </c>
      <c r="N1069" t="s">
        <v>2440</v>
      </c>
    </row>
    <row r="1070" spans="12:14">
      <c r="L1070">
        <v>1068</v>
      </c>
      <c r="M1070" t="s">
        <v>2441</v>
      </c>
      <c r="N1070" t="s">
        <v>2440</v>
      </c>
    </row>
    <row r="1071" spans="12:14">
      <c r="L1071">
        <v>1069</v>
      </c>
      <c r="M1071" t="s">
        <v>2442</v>
      </c>
      <c r="N1071" t="s">
        <v>2443</v>
      </c>
    </row>
    <row r="1072" spans="12:14">
      <c r="L1072">
        <v>1070</v>
      </c>
      <c r="M1072" t="s">
        <v>2444</v>
      </c>
      <c r="N1072" t="s">
        <v>2445</v>
      </c>
    </row>
    <row r="1073" spans="12:14">
      <c r="L1073">
        <v>1071</v>
      </c>
      <c r="M1073" t="s">
        <v>2446</v>
      </c>
      <c r="N1073" t="s">
        <v>2447</v>
      </c>
    </row>
    <row r="1074" spans="12:14">
      <c r="L1074">
        <v>1072</v>
      </c>
      <c r="M1074" t="s">
        <v>2448</v>
      </c>
      <c r="N1074" t="s">
        <v>2449</v>
      </c>
    </row>
    <row r="1075" spans="12:14">
      <c r="L1075">
        <v>1073</v>
      </c>
      <c r="M1075" t="s">
        <v>2450</v>
      </c>
      <c r="N1075" t="s">
        <v>2449</v>
      </c>
    </row>
    <row r="1076" spans="12:14">
      <c r="L1076">
        <v>1074</v>
      </c>
      <c r="M1076" t="s">
        <v>2451</v>
      </c>
      <c r="N1076" t="s">
        <v>2452</v>
      </c>
    </row>
    <row r="1077" spans="12:14">
      <c r="L1077">
        <v>1075</v>
      </c>
      <c r="M1077" t="s">
        <v>2453</v>
      </c>
      <c r="N1077" t="s">
        <v>2454</v>
      </c>
    </row>
    <row r="1078" spans="12:14">
      <c r="L1078">
        <v>1076</v>
      </c>
      <c r="M1078" t="s">
        <v>2455</v>
      </c>
      <c r="N1078" t="s">
        <v>2456</v>
      </c>
    </row>
    <row r="1079" spans="12:14">
      <c r="L1079">
        <v>1077</v>
      </c>
      <c r="M1079" t="s">
        <v>2457</v>
      </c>
      <c r="N1079" t="s">
        <v>2458</v>
      </c>
    </row>
    <row r="1080" spans="12:14">
      <c r="L1080">
        <v>1078</v>
      </c>
      <c r="M1080" t="s">
        <v>2459</v>
      </c>
      <c r="N1080" t="s">
        <v>2460</v>
      </c>
    </row>
    <row r="1081" spans="12:14">
      <c r="L1081">
        <v>1079</v>
      </c>
      <c r="M1081" t="s">
        <v>2461</v>
      </c>
      <c r="N1081" t="s">
        <v>2462</v>
      </c>
    </row>
    <row r="1082" spans="12:14">
      <c r="L1082">
        <v>1080</v>
      </c>
      <c r="M1082" t="s">
        <v>2463</v>
      </c>
      <c r="N1082" t="s">
        <v>2462</v>
      </c>
    </row>
    <row r="1083" spans="12:14">
      <c r="L1083">
        <v>1081</v>
      </c>
      <c r="M1083" t="s">
        <v>2464</v>
      </c>
      <c r="N1083" t="s">
        <v>2465</v>
      </c>
    </row>
    <row r="1084" spans="12:14">
      <c r="L1084">
        <v>1082</v>
      </c>
      <c r="M1084" t="s">
        <v>2466</v>
      </c>
      <c r="N1084" t="s">
        <v>2467</v>
      </c>
    </row>
    <row r="1085" spans="12:14">
      <c r="L1085">
        <v>1083</v>
      </c>
      <c r="M1085" t="s">
        <v>2468</v>
      </c>
      <c r="N1085" t="s">
        <v>1790</v>
      </c>
    </row>
    <row r="1086" spans="12:14">
      <c r="L1086">
        <v>1084</v>
      </c>
      <c r="M1086" t="s">
        <v>2469</v>
      </c>
      <c r="N1086" t="s">
        <v>2470</v>
      </c>
    </row>
    <row r="1087" spans="12:14">
      <c r="L1087">
        <v>1085</v>
      </c>
      <c r="M1087" t="s">
        <v>2471</v>
      </c>
      <c r="N1087" t="s">
        <v>2470</v>
      </c>
    </row>
    <row r="1088" spans="12:14">
      <c r="L1088">
        <v>1086</v>
      </c>
      <c r="M1088" t="s">
        <v>2472</v>
      </c>
      <c r="N1088" t="s">
        <v>1813</v>
      </c>
    </row>
    <row r="1089" spans="12:14">
      <c r="L1089">
        <v>1087</v>
      </c>
      <c r="M1089" t="s">
        <v>2473</v>
      </c>
      <c r="N1089" t="s">
        <v>2474</v>
      </c>
    </row>
    <row r="1090" spans="12:14">
      <c r="L1090">
        <v>1088</v>
      </c>
      <c r="M1090" t="s">
        <v>2475</v>
      </c>
      <c r="N1090" t="s">
        <v>2476</v>
      </c>
    </row>
    <row r="1091" spans="12:14">
      <c r="L1091">
        <v>1089</v>
      </c>
      <c r="M1091" t="s">
        <v>2477</v>
      </c>
      <c r="N1091" t="s">
        <v>2478</v>
      </c>
    </row>
    <row r="1092" spans="12:14">
      <c r="L1092">
        <v>1090</v>
      </c>
      <c r="M1092" t="s">
        <v>2479</v>
      </c>
      <c r="N1092" t="s">
        <v>2480</v>
      </c>
    </row>
    <row r="1093" spans="12:14">
      <c r="L1093">
        <v>1091</v>
      </c>
      <c r="M1093" t="s">
        <v>2481</v>
      </c>
      <c r="N1093" t="s">
        <v>2482</v>
      </c>
    </row>
    <row r="1094" spans="12:14">
      <c r="L1094">
        <v>1092</v>
      </c>
      <c r="M1094" t="s">
        <v>2483</v>
      </c>
      <c r="N1094" t="s">
        <v>2484</v>
      </c>
    </row>
    <row r="1095" spans="12:14">
      <c r="L1095">
        <v>1093</v>
      </c>
      <c r="M1095" t="s">
        <v>2485</v>
      </c>
      <c r="N1095" t="s">
        <v>2486</v>
      </c>
    </row>
    <row r="1096" spans="12:14">
      <c r="L1096">
        <v>1094</v>
      </c>
      <c r="M1096" t="s">
        <v>2487</v>
      </c>
      <c r="N1096" t="s">
        <v>2486</v>
      </c>
    </row>
    <row r="1097" spans="12:14">
      <c r="L1097">
        <v>1095</v>
      </c>
      <c r="M1097" t="s">
        <v>2488</v>
      </c>
      <c r="N1097" t="s">
        <v>2489</v>
      </c>
    </row>
    <row r="1098" spans="12:14">
      <c r="L1098">
        <v>1096</v>
      </c>
      <c r="M1098" t="s">
        <v>2490</v>
      </c>
      <c r="N1098" t="s">
        <v>2491</v>
      </c>
    </row>
    <row r="1099" spans="12:14">
      <c r="L1099">
        <v>1097</v>
      </c>
      <c r="M1099" t="s">
        <v>2492</v>
      </c>
      <c r="N1099" t="s">
        <v>2493</v>
      </c>
    </row>
    <row r="1100" spans="12:14">
      <c r="L1100">
        <v>1098</v>
      </c>
      <c r="M1100" t="s">
        <v>2494</v>
      </c>
      <c r="N1100" t="s">
        <v>2495</v>
      </c>
    </row>
    <row r="1101" spans="12:14">
      <c r="L1101">
        <v>1099</v>
      </c>
      <c r="M1101" t="s">
        <v>2496</v>
      </c>
      <c r="N1101" t="s">
        <v>2495</v>
      </c>
    </row>
    <row r="1102" spans="12:14">
      <c r="L1102">
        <v>1100</v>
      </c>
      <c r="M1102" t="s">
        <v>2497</v>
      </c>
      <c r="N1102" t="s">
        <v>2498</v>
      </c>
    </row>
    <row r="1103" spans="12:14">
      <c r="L1103">
        <v>1101</v>
      </c>
      <c r="M1103" t="s">
        <v>2499</v>
      </c>
      <c r="N1103" t="s">
        <v>2500</v>
      </c>
    </row>
    <row r="1104" spans="12:14">
      <c r="L1104">
        <v>1102</v>
      </c>
      <c r="M1104" t="s">
        <v>2501</v>
      </c>
      <c r="N1104" t="s">
        <v>2500</v>
      </c>
    </row>
    <row r="1105" spans="12:14">
      <c r="L1105">
        <v>1103</v>
      </c>
      <c r="M1105" t="s">
        <v>2502</v>
      </c>
      <c r="N1105" t="s">
        <v>2503</v>
      </c>
    </row>
    <row r="1106" spans="12:14">
      <c r="L1106">
        <v>1104</v>
      </c>
      <c r="M1106" t="s">
        <v>2504</v>
      </c>
      <c r="N1106" t="s">
        <v>2505</v>
      </c>
    </row>
    <row r="1107" spans="12:14">
      <c r="L1107">
        <v>1105</v>
      </c>
      <c r="M1107" t="s">
        <v>2506</v>
      </c>
      <c r="N1107" t="s">
        <v>2505</v>
      </c>
    </row>
    <row r="1108" spans="12:14">
      <c r="L1108">
        <v>1106</v>
      </c>
      <c r="M1108" t="s">
        <v>2507</v>
      </c>
      <c r="N1108" t="s">
        <v>2508</v>
      </c>
    </row>
    <row r="1109" spans="12:14">
      <c r="L1109">
        <v>1107</v>
      </c>
      <c r="M1109" t="s">
        <v>2509</v>
      </c>
      <c r="N1109" t="s">
        <v>2510</v>
      </c>
    </row>
    <row r="1110" spans="12:14">
      <c r="L1110">
        <v>1108</v>
      </c>
      <c r="M1110" t="s">
        <v>2511</v>
      </c>
      <c r="N1110" t="s">
        <v>2510</v>
      </c>
    </row>
    <row r="1111" spans="12:14">
      <c r="L1111">
        <v>1109</v>
      </c>
      <c r="M1111" t="s">
        <v>2512</v>
      </c>
      <c r="N1111" t="s">
        <v>2513</v>
      </c>
    </row>
    <row r="1112" spans="12:14">
      <c r="L1112">
        <v>1110</v>
      </c>
      <c r="M1112" t="s">
        <v>2514</v>
      </c>
      <c r="N1112" t="s">
        <v>2515</v>
      </c>
    </row>
    <row r="1113" spans="12:14">
      <c r="L1113">
        <v>1111</v>
      </c>
      <c r="M1113" t="s">
        <v>2516</v>
      </c>
      <c r="N1113" t="s">
        <v>2515</v>
      </c>
    </row>
    <row r="1114" spans="12:14">
      <c r="L1114">
        <v>1112</v>
      </c>
      <c r="M1114" t="s">
        <v>2517</v>
      </c>
      <c r="N1114" t="s">
        <v>2498</v>
      </c>
    </row>
    <row r="1115" spans="12:14">
      <c r="L1115">
        <v>1113</v>
      </c>
      <c r="M1115" t="s">
        <v>2518</v>
      </c>
      <c r="N1115" t="s">
        <v>2519</v>
      </c>
    </row>
    <row r="1116" spans="12:14">
      <c r="L1116">
        <v>1114</v>
      </c>
      <c r="M1116" t="s">
        <v>2520</v>
      </c>
      <c r="N1116" t="s">
        <v>2519</v>
      </c>
    </row>
    <row r="1117" spans="12:14">
      <c r="L1117">
        <v>1115</v>
      </c>
      <c r="M1117" t="s">
        <v>2521</v>
      </c>
      <c r="N1117" t="s">
        <v>2513</v>
      </c>
    </row>
    <row r="1118" spans="12:14">
      <c r="L1118">
        <v>1116</v>
      </c>
      <c r="M1118" t="s">
        <v>2522</v>
      </c>
      <c r="N1118" t="s">
        <v>2523</v>
      </c>
    </row>
    <row r="1119" spans="12:14">
      <c r="L1119">
        <v>1117</v>
      </c>
      <c r="M1119" t="s">
        <v>2524</v>
      </c>
      <c r="N1119" t="s">
        <v>2523</v>
      </c>
    </row>
    <row r="1120" spans="12:14">
      <c r="L1120">
        <v>1118</v>
      </c>
      <c r="M1120" t="s">
        <v>2525</v>
      </c>
      <c r="N1120" t="s">
        <v>2305</v>
      </c>
    </row>
    <row r="1121" spans="12:14">
      <c r="L1121">
        <v>1119</v>
      </c>
      <c r="M1121" t="s">
        <v>2526</v>
      </c>
      <c r="N1121" t="s">
        <v>2527</v>
      </c>
    </row>
    <row r="1122" spans="12:14">
      <c r="L1122">
        <v>1120</v>
      </c>
      <c r="M1122" t="s">
        <v>2528</v>
      </c>
      <c r="N1122" t="s">
        <v>2529</v>
      </c>
    </row>
    <row r="1123" spans="12:14">
      <c r="L1123">
        <v>1121</v>
      </c>
      <c r="M1123" t="s">
        <v>2530</v>
      </c>
      <c r="N1123" t="s">
        <v>2531</v>
      </c>
    </row>
    <row r="1124" spans="12:14">
      <c r="L1124">
        <v>1122</v>
      </c>
      <c r="M1124" t="s">
        <v>2532</v>
      </c>
      <c r="N1124" t="s">
        <v>2533</v>
      </c>
    </row>
    <row r="1125" spans="12:14">
      <c r="L1125">
        <v>1123</v>
      </c>
      <c r="M1125" t="s">
        <v>2534</v>
      </c>
      <c r="N1125" t="s">
        <v>2535</v>
      </c>
    </row>
    <row r="1126" spans="12:14">
      <c r="L1126">
        <v>1124</v>
      </c>
      <c r="M1126" t="s">
        <v>2536</v>
      </c>
      <c r="N1126" t="s">
        <v>1474</v>
      </c>
    </row>
    <row r="1127" spans="12:14">
      <c r="L1127">
        <v>1125</v>
      </c>
      <c r="M1127" t="s">
        <v>2537</v>
      </c>
      <c r="N1127" t="s">
        <v>2538</v>
      </c>
    </row>
    <row r="1128" spans="12:14">
      <c r="L1128">
        <v>1126</v>
      </c>
      <c r="M1128" t="s">
        <v>2539</v>
      </c>
      <c r="N1128" t="s">
        <v>1778</v>
      </c>
    </row>
    <row r="1129" spans="12:14">
      <c r="L1129">
        <v>1127</v>
      </c>
      <c r="M1129" t="s">
        <v>2540</v>
      </c>
      <c r="N1129" t="s">
        <v>2541</v>
      </c>
    </row>
    <row r="1130" spans="12:14">
      <c r="L1130">
        <v>1128</v>
      </c>
      <c r="M1130" t="s">
        <v>2542</v>
      </c>
      <c r="N1130" t="s">
        <v>2543</v>
      </c>
    </row>
    <row r="1131" spans="12:14">
      <c r="L1131">
        <v>1129</v>
      </c>
      <c r="M1131" t="s">
        <v>2544</v>
      </c>
      <c r="N1131" t="s">
        <v>2545</v>
      </c>
    </row>
    <row r="1132" spans="12:14">
      <c r="L1132">
        <v>1130</v>
      </c>
      <c r="M1132" t="s">
        <v>2546</v>
      </c>
      <c r="N1132" t="s">
        <v>2547</v>
      </c>
    </row>
    <row r="1133" spans="12:14">
      <c r="L1133">
        <v>1131</v>
      </c>
      <c r="M1133" t="s">
        <v>2548</v>
      </c>
      <c r="N1133" t="s">
        <v>2549</v>
      </c>
    </row>
    <row r="1134" spans="12:14">
      <c r="L1134">
        <v>1132</v>
      </c>
      <c r="M1134" t="s">
        <v>2550</v>
      </c>
      <c r="N1134" t="s">
        <v>2551</v>
      </c>
    </row>
    <row r="1135" spans="12:14">
      <c r="L1135">
        <v>1133</v>
      </c>
      <c r="M1135" t="s">
        <v>2552</v>
      </c>
      <c r="N1135" t="s">
        <v>2553</v>
      </c>
    </row>
    <row r="1136" spans="12:14">
      <c r="L1136">
        <v>1134</v>
      </c>
      <c r="M1136" t="s">
        <v>2554</v>
      </c>
      <c r="N1136" t="s">
        <v>2555</v>
      </c>
    </row>
    <row r="1137" spans="12:14">
      <c r="L1137">
        <v>1135</v>
      </c>
      <c r="M1137" t="s">
        <v>2556</v>
      </c>
      <c r="N1137" t="s">
        <v>2557</v>
      </c>
    </row>
    <row r="1138" spans="12:14">
      <c r="L1138">
        <v>1136</v>
      </c>
      <c r="M1138" t="s">
        <v>2558</v>
      </c>
      <c r="N1138" t="s">
        <v>2559</v>
      </c>
    </row>
    <row r="1139" spans="12:14">
      <c r="L1139">
        <v>1137</v>
      </c>
      <c r="M1139" t="s">
        <v>2560</v>
      </c>
      <c r="N1139" t="s">
        <v>2561</v>
      </c>
    </row>
    <row r="1140" spans="12:14">
      <c r="L1140">
        <v>1138</v>
      </c>
      <c r="M1140" t="s">
        <v>2562</v>
      </c>
      <c r="N1140" t="s">
        <v>1917</v>
      </c>
    </row>
    <row r="1141" spans="12:14">
      <c r="L1141">
        <v>1139</v>
      </c>
      <c r="M1141" t="s">
        <v>2563</v>
      </c>
      <c r="N1141" t="s">
        <v>2564</v>
      </c>
    </row>
    <row r="1142" spans="12:14">
      <c r="L1142">
        <v>1140</v>
      </c>
      <c r="M1142" t="s">
        <v>2565</v>
      </c>
      <c r="N1142" t="s">
        <v>2566</v>
      </c>
    </row>
    <row r="1143" spans="12:14">
      <c r="L1143">
        <v>1141</v>
      </c>
      <c r="M1143" t="s">
        <v>2567</v>
      </c>
      <c r="N1143" t="s">
        <v>2568</v>
      </c>
    </row>
    <row r="1144" spans="12:14">
      <c r="L1144">
        <v>1142</v>
      </c>
      <c r="M1144" t="s">
        <v>2569</v>
      </c>
      <c r="N1144" t="s">
        <v>2243</v>
      </c>
    </row>
    <row r="1145" spans="12:14">
      <c r="L1145">
        <v>1143</v>
      </c>
      <c r="M1145" t="s">
        <v>2570</v>
      </c>
      <c r="N1145" t="s">
        <v>2571</v>
      </c>
    </row>
    <row r="1146" spans="12:14">
      <c r="L1146">
        <v>1144</v>
      </c>
      <c r="M1146" t="s">
        <v>2572</v>
      </c>
      <c r="N1146" t="s">
        <v>2308</v>
      </c>
    </row>
    <row r="1147" spans="12:14">
      <c r="L1147">
        <v>1145</v>
      </c>
      <c r="M1147" t="s">
        <v>2573</v>
      </c>
      <c r="N1147" t="s">
        <v>2574</v>
      </c>
    </row>
    <row r="1148" spans="12:14">
      <c r="L1148">
        <v>1146</v>
      </c>
      <c r="M1148" t="s">
        <v>2575</v>
      </c>
      <c r="N1148" t="s">
        <v>2576</v>
      </c>
    </row>
    <row r="1149" spans="12:14">
      <c r="L1149">
        <v>1147</v>
      </c>
      <c r="M1149" t="s">
        <v>2577</v>
      </c>
      <c r="N1149" t="s">
        <v>2578</v>
      </c>
    </row>
    <row r="1150" spans="12:14">
      <c r="L1150">
        <v>1148</v>
      </c>
      <c r="M1150" t="s">
        <v>2579</v>
      </c>
      <c r="N1150" t="s">
        <v>2580</v>
      </c>
    </row>
    <row r="1151" spans="12:14">
      <c r="L1151">
        <v>1149</v>
      </c>
      <c r="M1151" t="s">
        <v>2581</v>
      </c>
      <c r="N1151" t="s">
        <v>2582</v>
      </c>
    </row>
    <row r="1152" spans="12:14">
      <c r="L1152">
        <v>1150</v>
      </c>
      <c r="M1152" t="s">
        <v>2583</v>
      </c>
      <c r="N1152" t="s">
        <v>2584</v>
      </c>
    </row>
    <row r="1153" spans="12:14">
      <c r="L1153">
        <v>1151</v>
      </c>
      <c r="M1153" t="s">
        <v>2585</v>
      </c>
      <c r="N1153" t="s">
        <v>2586</v>
      </c>
    </row>
    <row r="1154" spans="12:14">
      <c r="L1154">
        <v>1152</v>
      </c>
      <c r="M1154" t="s">
        <v>2587</v>
      </c>
      <c r="N1154" t="s">
        <v>2588</v>
      </c>
    </row>
    <row r="1155" spans="12:14">
      <c r="L1155">
        <v>1153</v>
      </c>
      <c r="M1155" t="s">
        <v>2589</v>
      </c>
      <c r="N1155" t="s">
        <v>2590</v>
      </c>
    </row>
    <row r="1156" spans="12:14">
      <c r="L1156">
        <v>1154</v>
      </c>
      <c r="M1156" t="s">
        <v>2591</v>
      </c>
      <c r="N1156" t="s">
        <v>2592</v>
      </c>
    </row>
    <row r="1157" spans="12:14">
      <c r="L1157">
        <v>1155</v>
      </c>
      <c r="M1157" t="s">
        <v>2593</v>
      </c>
      <c r="N1157" t="s">
        <v>1528</v>
      </c>
    </row>
    <row r="1158" spans="12:14">
      <c r="L1158">
        <v>1156</v>
      </c>
      <c r="M1158" t="s">
        <v>2594</v>
      </c>
      <c r="N1158" t="s">
        <v>2595</v>
      </c>
    </row>
    <row r="1159" spans="12:14">
      <c r="L1159">
        <v>1157</v>
      </c>
      <c r="M1159" t="s">
        <v>2596</v>
      </c>
      <c r="N1159" t="s">
        <v>2597</v>
      </c>
    </row>
    <row r="1160" spans="12:14">
      <c r="L1160">
        <v>1158</v>
      </c>
      <c r="M1160" t="s">
        <v>2598</v>
      </c>
      <c r="N1160" t="s">
        <v>2599</v>
      </c>
    </row>
    <row r="1161" spans="12:14">
      <c r="L1161">
        <v>1159</v>
      </c>
      <c r="M1161" t="s">
        <v>2600</v>
      </c>
      <c r="N1161" t="s">
        <v>2601</v>
      </c>
    </row>
    <row r="1162" spans="12:14">
      <c r="L1162">
        <v>1160</v>
      </c>
      <c r="M1162" t="s">
        <v>2602</v>
      </c>
      <c r="N1162" t="s">
        <v>2603</v>
      </c>
    </row>
    <row r="1163" spans="12:14">
      <c r="L1163">
        <v>1161</v>
      </c>
      <c r="M1163" t="s">
        <v>2604</v>
      </c>
      <c r="N1163" t="s">
        <v>2605</v>
      </c>
    </row>
    <row r="1164" spans="12:14">
      <c r="L1164">
        <v>1162</v>
      </c>
      <c r="M1164" t="s">
        <v>2606</v>
      </c>
      <c r="N1164" t="s">
        <v>2607</v>
      </c>
    </row>
    <row r="1165" spans="12:14">
      <c r="L1165">
        <v>1163</v>
      </c>
      <c r="M1165" t="s">
        <v>2608</v>
      </c>
      <c r="N1165" t="s">
        <v>2609</v>
      </c>
    </row>
    <row r="1166" spans="12:14">
      <c r="L1166">
        <v>1164</v>
      </c>
      <c r="M1166" t="s">
        <v>2610</v>
      </c>
      <c r="N1166" t="s">
        <v>2611</v>
      </c>
    </row>
    <row r="1167" spans="12:14">
      <c r="L1167">
        <v>1165</v>
      </c>
      <c r="M1167" t="s">
        <v>2612</v>
      </c>
      <c r="N1167" t="s">
        <v>2613</v>
      </c>
    </row>
    <row r="1168" spans="12:14">
      <c r="L1168">
        <v>1166</v>
      </c>
      <c r="M1168" t="s">
        <v>2614</v>
      </c>
      <c r="N1168" t="s">
        <v>2615</v>
      </c>
    </row>
    <row r="1169" spans="12:14">
      <c r="L1169">
        <v>1167</v>
      </c>
      <c r="M1169" t="s">
        <v>2616</v>
      </c>
      <c r="N1169" t="s">
        <v>2613</v>
      </c>
    </row>
    <row r="1170" spans="12:14">
      <c r="L1170">
        <v>1168</v>
      </c>
      <c r="M1170" t="s">
        <v>2617</v>
      </c>
      <c r="N1170" t="s">
        <v>2618</v>
      </c>
    </row>
    <row r="1171" spans="12:14">
      <c r="L1171">
        <v>1169</v>
      </c>
      <c r="M1171" t="s">
        <v>2619</v>
      </c>
      <c r="N1171" t="s">
        <v>2620</v>
      </c>
    </row>
    <row r="1172" spans="12:14">
      <c r="L1172">
        <v>1170</v>
      </c>
      <c r="M1172" t="s">
        <v>2621</v>
      </c>
      <c r="N1172" t="s">
        <v>1408</v>
      </c>
    </row>
    <row r="1173" spans="12:14">
      <c r="L1173">
        <v>1171</v>
      </c>
      <c r="M1173" t="s">
        <v>2622</v>
      </c>
      <c r="N1173" t="s">
        <v>2623</v>
      </c>
    </row>
    <row r="1174" spans="12:14">
      <c r="L1174">
        <v>1172</v>
      </c>
      <c r="M1174" t="s">
        <v>2624</v>
      </c>
      <c r="N1174" t="s">
        <v>1496</v>
      </c>
    </row>
    <row r="1175" spans="12:14">
      <c r="L1175">
        <v>1173</v>
      </c>
      <c r="M1175" t="s">
        <v>2625</v>
      </c>
      <c r="N1175" t="s">
        <v>2626</v>
      </c>
    </row>
    <row r="1176" spans="12:14">
      <c r="L1176">
        <v>1174</v>
      </c>
      <c r="M1176" t="s">
        <v>2627</v>
      </c>
      <c r="N1176" t="s">
        <v>2628</v>
      </c>
    </row>
    <row r="1177" spans="12:14">
      <c r="L1177">
        <v>1175</v>
      </c>
      <c r="M1177" t="s">
        <v>2629</v>
      </c>
      <c r="N1177" t="s">
        <v>2630</v>
      </c>
    </row>
    <row r="1178" spans="12:14">
      <c r="L1178">
        <v>1176</v>
      </c>
      <c r="M1178" t="s">
        <v>2631</v>
      </c>
      <c r="N1178" t="s">
        <v>2632</v>
      </c>
    </row>
    <row r="1179" spans="12:14">
      <c r="L1179">
        <v>1177</v>
      </c>
      <c r="M1179" t="s">
        <v>1155</v>
      </c>
      <c r="N1179" t="s">
        <v>2633</v>
      </c>
    </row>
    <row r="1180" spans="12:14">
      <c r="L1180">
        <v>1178</v>
      </c>
      <c r="M1180" t="s">
        <v>2634</v>
      </c>
      <c r="N1180" t="s">
        <v>2635</v>
      </c>
    </row>
    <row r="1181" spans="12:14">
      <c r="L1181">
        <v>1179</v>
      </c>
      <c r="M1181" t="s">
        <v>2636</v>
      </c>
      <c r="N1181" t="s">
        <v>2637</v>
      </c>
    </row>
    <row r="1182" spans="12:14">
      <c r="L1182">
        <v>1180</v>
      </c>
      <c r="M1182" t="s">
        <v>2638</v>
      </c>
      <c r="N1182" t="s">
        <v>2639</v>
      </c>
    </row>
    <row r="1183" spans="12:14">
      <c r="L1183">
        <v>1181</v>
      </c>
      <c r="M1183" t="s">
        <v>2640</v>
      </c>
      <c r="N1183" t="s">
        <v>2641</v>
      </c>
    </row>
    <row r="1184" spans="12:14">
      <c r="L1184">
        <v>1182</v>
      </c>
      <c r="M1184" t="s">
        <v>2642</v>
      </c>
      <c r="N1184" t="s">
        <v>2633</v>
      </c>
    </row>
    <row r="1185" spans="12:14">
      <c r="L1185">
        <v>1183</v>
      </c>
      <c r="M1185" t="s">
        <v>2643</v>
      </c>
      <c r="N1185" t="s">
        <v>2644</v>
      </c>
    </row>
    <row r="1186" spans="12:14">
      <c r="L1186">
        <v>1184</v>
      </c>
      <c r="M1186" t="s">
        <v>2645</v>
      </c>
      <c r="N1186" t="s">
        <v>2646</v>
      </c>
    </row>
    <row r="1187" spans="12:14">
      <c r="L1187">
        <v>1185</v>
      </c>
      <c r="M1187" t="s">
        <v>2647</v>
      </c>
      <c r="N1187" t="s">
        <v>2648</v>
      </c>
    </row>
    <row r="1188" spans="12:14">
      <c r="L1188">
        <v>1186</v>
      </c>
      <c r="M1188" t="s">
        <v>2649</v>
      </c>
      <c r="N1188" t="s">
        <v>2650</v>
      </c>
    </row>
    <row r="1189" spans="12:14">
      <c r="L1189">
        <v>1187</v>
      </c>
      <c r="M1189" t="s">
        <v>2651</v>
      </c>
      <c r="N1189" t="s">
        <v>2652</v>
      </c>
    </row>
    <row r="1190" spans="12:14">
      <c r="L1190">
        <v>1188</v>
      </c>
      <c r="M1190" t="s">
        <v>2653</v>
      </c>
      <c r="N1190" t="s">
        <v>2654</v>
      </c>
    </row>
    <row r="1191" spans="12:14">
      <c r="L1191">
        <v>1189</v>
      </c>
      <c r="M1191" t="s">
        <v>2655</v>
      </c>
      <c r="N1191" t="s">
        <v>2656</v>
      </c>
    </row>
    <row r="1192" spans="12:14">
      <c r="L1192">
        <v>1190</v>
      </c>
      <c r="M1192" t="s">
        <v>2657</v>
      </c>
      <c r="N1192" t="s">
        <v>2658</v>
      </c>
    </row>
    <row r="1193" spans="12:14">
      <c r="L1193">
        <v>1191</v>
      </c>
      <c r="M1193" t="s">
        <v>2659</v>
      </c>
      <c r="N1193" t="s">
        <v>2660</v>
      </c>
    </row>
    <row r="1194" spans="12:14">
      <c r="L1194">
        <v>1192</v>
      </c>
      <c r="M1194" t="s">
        <v>2661</v>
      </c>
      <c r="N1194" t="s">
        <v>2662</v>
      </c>
    </row>
    <row r="1195" spans="12:14">
      <c r="L1195">
        <v>1193</v>
      </c>
      <c r="M1195" t="s">
        <v>2663</v>
      </c>
      <c r="N1195" t="s">
        <v>2664</v>
      </c>
    </row>
  </sheetData>
  <mergeCells count="7">
    <mergeCell ref="J1:J2"/>
    <mergeCell ref="H246:I246"/>
    <mergeCell ref="A1:A2"/>
    <mergeCell ref="C1:C2"/>
    <mergeCell ref="D1:D2"/>
    <mergeCell ref="E1:F1"/>
    <mergeCell ref="G1:I1"/>
  </mergeCells>
  <phoneticPr fontId="3" type="noConversion"/>
  <printOptions horizontalCentered="1"/>
  <pageMargins left="0.39370078740157505" right="0.39370078740157505" top="0.39370078740157399" bottom="0.39370078740157399" header="0.196850393700787" footer="0.196850393700787"/>
  <pageSetup paperSize="9" scale="63" fitToWidth="0" fitToHeight="0" orientation="portrait" r:id="rId1"/>
  <headerFoot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F14" sqref="F14"/>
    </sheetView>
  </sheetViews>
  <sheetFormatPr defaultRowHeight="16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16</vt:i4>
      </vt:variant>
    </vt:vector>
  </HeadingPairs>
  <TitlesOfParts>
    <vt:vector size="22" baseType="lpstr">
      <vt:lpstr>看盤</vt:lpstr>
      <vt:lpstr>記錄</vt:lpstr>
      <vt:lpstr>結算估價</vt:lpstr>
      <vt:lpstr>大昌DDE</vt:lpstr>
      <vt:lpstr>股期代碼</vt:lpstr>
      <vt:lpstr>Documentation</vt:lpstr>
      <vt:lpstr>Rec_行號字母</vt:lpstr>
      <vt:lpstr>Rec_行號數</vt:lpstr>
      <vt:lpstr>Rec_商品名稱</vt:lpstr>
      <vt:lpstr>月份</vt:lpstr>
      <vt:lpstr>月份代碼</vt:lpstr>
      <vt:lpstr>股票代碼</vt:lpstr>
      <vt:lpstr>股票簡稱</vt:lpstr>
      <vt:lpstr>股期DDE示範區</vt:lpstr>
      <vt:lpstr>股期代碼</vt:lpstr>
      <vt:lpstr>指數期</vt:lpstr>
      <vt:lpstr>查詢項目</vt:lpstr>
      <vt:lpstr>查詢項目代碼</vt:lpstr>
      <vt:lpstr>看盤名稱區</vt:lpstr>
      <vt:lpstr>看盤區</vt:lpstr>
      <vt:lpstr>展示項目</vt:lpstr>
      <vt:lpstr>現股DDE示範區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2024-05-24T09:51:25Z</dcterms:created>
  <dcterms:modified xsi:type="dcterms:W3CDTF">2026-03-06T05:50:47Z</dcterms:modified>
</cp:coreProperties>
</file>